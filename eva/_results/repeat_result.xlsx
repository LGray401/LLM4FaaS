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he/Desktop/"/>
    </mc:Choice>
  </mc:AlternateContent>
  <xr:revisionPtr revIDLastSave="0" documentId="13_ncr:1_{FD4453EB-46AB-F34C-8051-A56419D08423}" xr6:coauthVersionLast="47" xr6:coauthVersionMax="47" xr10:uidLastSave="{00000000-0000-0000-0000-000000000000}"/>
  <bookViews>
    <workbookView xWindow="0" yWindow="0" windowWidth="40960" windowHeight="23040" activeTab="2" xr2:uid="{B743A7D6-CE7A-8F46-BA80-CF71DFA94462}"/>
  </bookViews>
  <sheets>
    <sheet name="Energy Control" sheetId="1" r:id="rId1"/>
    <sheet name="Auto Adapt" sheetId="2" r:id="rId2"/>
    <sheet name="Fixed Plans" sheetId="3" r:id="rId3"/>
    <sheet name="Remote Contro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3" l="1"/>
  <c r="R22" i="3"/>
  <c r="S22" i="3"/>
  <c r="K22" i="3"/>
  <c r="L22" i="3"/>
  <c r="M22" i="3"/>
  <c r="E22" i="3"/>
  <c r="F22" i="3"/>
  <c r="G22" i="3"/>
  <c r="F25" i="4"/>
  <c r="G25" i="1"/>
  <c r="G24" i="1"/>
  <c r="Q22" i="2"/>
  <c r="R22" i="2"/>
  <c r="S22" i="2"/>
  <c r="L22" i="2"/>
  <c r="M22" i="2"/>
  <c r="K22" i="2"/>
  <c r="G22" i="2"/>
  <c r="F22" i="2"/>
  <c r="E22" i="2"/>
  <c r="Q26" i="3" l="1"/>
  <c r="K26" i="3"/>
  <c r="E26" i="3"/>
  <c r="Q25" i="3"/>
  <c r="K25" i="3"/>
  <c r="E25" i="3"/>
  <c r="P22" i="3"/>
  <c r="O22" i="3"/>
  <c r="N22" i="3"/>
  <c r="J22" i="3"/>
  <c r="I22" i="3"/>
  <c r="H22" i="3"/>
  <c r="H25" i="3" s="1"/>
  <c r="D22" i="3"/>
  <c r="C22" i="3"/>
  <c r="B22" i="3"/>
  <c r="G22" i="4"/>
  <c r="G26" i="4" s="1"/>
  <c r="F22" i="4"/>
  <c r="F26" i="4" s="1"/>
  <c r="E22" i="4"/>
  <c r="E25" i="4" s="1"/>
  <c r="D22" i="4"/>
  <c r="D25" i="4" s="1"/>
  <c r="C22" i="4"/>
  <c r="C25" i="4" s="1"/>
  <c r="B22" i="4"/>
  <c r="B25" i="4" s="1"/>
  <c r="G21" i="1"/>
  <c r="F21" i="1"/>
  <c r="F25" i="1" s="1"/>
  <c r="E21" i="1"/>
  <c r="E24" i="1" s="1"/>
  <c r="D21" i="1"/>
  <c r="D24" i="1" s="1"/>
  <c r="C21" i="1"/>
  <c r="C24" i="1" s="1"/>
  <c r="B21" i="1"/>
  <c r="B24" i="1" s="1"/>
  <c r="B26" i="3" l="1"/>
  <c r="N26" i="3"/>
  <c r="H26" i="3"/>
  <c r="B25" i="3"/>
  <c r="N25" i="3"/>
  <c r="G25" i="4"/>
  <c r="B26" i="4"/>
  <c r="C26" i="4"/>
  <c r="D26" i="4"/>
  <c r="E26" i="4"/>
  <c r="B25" i="1"/>
  <c r="F24" i="1"/>
  <c r="C25" i="1"/>
  <c r="D25" i="1"/>
  <c r="E25" i="1"/>
  <c r="O22" i="2" l="1"/>
  <c r="P22" i="2"/>
  <c r="N22" i="2"/>
  <c r="B22" i="2"/>
  <c r="Q26" i="2"/>
  <c r="K25" i="2"/>
  <c r="J22" i="2"/>
  <c r="I22" i="2"/>
  <c r="H22" i="2"/>
  <c r="H25" i="2" s="1"/>
  <c r="D22" i="2"/>
  <c r="C22" i="2"/>
  <c r="N26" i="2" l="1"/>
  <c r="B26" i="2"/>
  <c r="N25" i="2"/>
  <c r="E25" i="2"/>
  <c r="Q25" i="2"/>
  <c r="E26" i="2"/>
  <c r="B25" i="2"/>
  <c r="K26" i="2"/>
  <c r="H26" i="2"/>
</calcChain>
</file>

<file path=xl/sharedStrings.xml><?xml version="1.0" encoding="utf-8"?>
<sst xmlns="http://schemas.openxmlformats.org/spreadsheetml/2006/main" count="631" uniqueCount="171">
  <si>
    <t>Run</t>
  </si>
  <si>
    <t>gpt-4o</t>
  </si>
  <si>
    <t>gpt-4o-mini</t>
  </si>
  <si>
    <t>Prompt 24</t>
  </si>
  <si>
    <t>Prompt 26</t>
  </si>
  <si>
    <t>Remote Control</t>
  </si>
  <si>
    <t>Auto Adapt</t>
  </si>
  <si>
    <t>Fixed Plans</t>
  </si>
  <si>
    <t>Energy Control</t>
  </si>
  <si>
    <t>✅</t>
  </si>
  <si>
    <t>cannot find lights in the bedroom</t>
  </si>
  <si>
    <t>cannot set brightness level; only triggers the first found light</t>
  </si>
  <si>
    <t>cannot set brightness level</t>
  </si>
  <si>
    <t>TypeError; cannot find actuator</t>
  </si>
  <si>
    <t>NameError(import);cannot set brightness level</t>
  </si>
  <si>
    <t>import error; ✅</t>
  </si>
  <si>
    <t>import error; ✅Curtain is opened not closed</t>
  </si>
  <si>
    <t>✅Measuring whether it's cloudy by temperature</t>
  </si>
  <si>
    <t>✅Measuring whether it's sunny by temperature</t>
  </si>
  <si>
    <t>cannot find both indoor and outdoor sensors in the  same room</t>
  </si>
  <si>
    <t>cannot get sensor readings; ✅</t>
  </si>
  <si>
    <t>cannot get sensor readings; does not keep humidity less than 30% as required</t>
  </si>
  <si>
    <t>cannot get sensor readings;✅</t>
  </si>
  <si>
    <t>cannot get sensor readings;only triggers the first found light</t>
  </si>
  <si>
    <t>Temperature</t>
  </si>
  <si>
    <t>Humidity</t>
  </si>
  <si>
    <t>Light Intensity</t>
  </si>
  <si>
    <t>does not need to turn off humidifier to decrease the humidity</t>
  </si>
  <si>
    <t>Prompt 21</t>
  </si>
  <si>
    <t>NameError(import);✅</t>
  </si>
  <si>
    <t>✅(this function is the 'generic' function that I would like to have :D)</t>
  </si>
  <si>
    <t>cannot find coffee machine; does not adjust temp after setting target temp for ac</t>
  </si>
  <si>
    <t>only get sensor reading, does not adapt humidity</t>
  </si>
  <si>
    <t>no control logic generated.</t>
  </si>
  <si>
    <t>only control one light when there are multiple ones</t>
  </si>
  <si>
    <t>no control logic generated, the function assumes that humidity is controlled in another way</t>
  </si>
  <si>
    <t>ModuleNotFoundError; ✅</t>
  </si>
  <si>
    <t>ModuleNotFoundError; no control logic generated.</t>
  </si>
  <si>
    <t>ModuleNotFoundError; every sensor reading will trigger all related devices at home.</t>
  </si>
  <si>
    <t>ModuleNotFoundError;no control logic generated, the function assumes that humidity is controlled in another way</t>
  </si>
  <si>
    <t>control logic does not fit the prompt</t>
  </si>
  <si>
    <t>PASS</t>
  </si>
  <si>
    <t>COMPILE</t>
  </si>
  <si>
    <t>NOT PASS</t>
  </si>
  <si>
    <t>TOTAL_VALID</t>
  </si>
  <si>
    <t xml:space="preserve"> PASS RATE</t>
  </si>
  <si>
    <t>COMPILABLE RATE</t>
  </si>
  <si>
    <t>only trigger the first found window</t>
  </si>
  <si>
    <t>does not adjust temp properly</t>
  </si>
  <si>
    <t>only turn on the sensor and humidifier</t>
  </si>
  <si>
    <t>every sensor reading will trigger all related devices at home</t>
  </si>
  <si>
    <t>ModuleNotFoundError</t>
  </si>
  <si>
    <t>ModuleNotFoundError;every sensor reading will trigger all related devices at home</t>
  </si>
  <si>
    <t>NameError; ✅</t>
  </si>
  <si>
    <t>NameError; does not understand prompts properly</t>
  </si>
  <si>
    <t>cannot set brightness level; does not match the rest mode requirement</t>
  </si>
  <si>
    <t>✅ it assumes that turning on tv is will enable energy-saving mode or it is a prerequisite.</t>
  </si>
  <si>
    <t>every indoor temp sensor readings will trigger all windows at home</t>
  </si>
  <si>
    <t>ModuleNotFoundError; cannot get sensor readings; cannot find both indoor and outdoor sensors in the  same room</t>
  </si>
  <si>
    <t>cannot find both indoor and outdoor sensors in the  same room; import errors</t>
  </si>
  <si>
    <t>UnboundLocalError; cannot get sensor readings</t>
  </si>
  <si>
    <t>NameError; cannot get sensor readings; ✅</t>
  </si>
  <si>
    <t>cannot find outdoor temp sensor correctly</t>
  </si>
  <si>
    <t>can only find one window when there are multiple ones;cannot find both indoor and outdoor sensors in the  same room</t>
  </si>
  <si>
    <t>Type Error; cannot get sensor readings; ✅</t>
  </si>
  <si>
    <t>NameError; cannot get sensor readings; cannot find outdoor temp sensor properly</t>
  </si>
  <si>
    <t>the model always considers that indoor and outdoor temperature sensors should be in the same room.</t>
  </si>
  <si>
    <t>the model would like to find the outdoor temp sensor from the whole home and take the reading as a global parameter, however, it cannot find the right way to enable that.</t>
  </si>
  <si>
    <t xml:space="preserve">i.e., the 4o results of prompt 24 and 26 looks the same, but they have different reasons. </t>
  </si>
  <si>
    <t>cannot find coffee machine;</t>
  </si>
  <si>
    <t>cannot find coffee machine; only trigger 1 actuators when there are multiple ones</t>
  </si>
  <si>
    <t>NameError; will only control the first found actuator; cannot set brightness level</t>
  </si>
  <si>
    <t>only control the first found actuator; cannot set brightness level</t>
  </si>
  <si>
    <t>only control the first found actuator</t>
  </si>
  <si>
    <t>except coffee machine, other devices can be triggered as required</t>
  </si>
  <si>
    <t>the existing promblems are not solved</t>
  </si>
  <si>
    <t>Morning</t>
  </si>
  <si>
    <t>Leave Home</t>
  </si>
  <si>
    <t>Movie</t>
  </si>
  <si>
    <t>cannot find the sensor</t>
  </si>
  <si>
    <t>try to find curtain in the kitchen</t>
  </si>
  <si>
    <t>most problems are from sensor</t>
  </si>
  <si>
    <t>AttributeError; cannot find actuators in a right way; import errors</t>
  </si>
  <si>
    <t>only trigger the actuators in the living room</t>
  </si>
  <si>
    <t>TypeError</t>
  </si>
  <si>
    <t>TypeError, cannot get sensor readings</t>
  </si>
  <si>
    <t>every sensor reading will trigger all curtains at home</t>
  </si>
  <si>
    <t>cannot find the sensors</t>
  </si>
  <si>
    <t>NameError(import); TyperError, cannot get sensor readings</t>
  </si>
  <si>
    <t>NameError(import); consider outdoor temp sensor to be light intensity sensor.</t>
  </si>
  <si>
    <t>consider outdoor temp sensor to be light intensity sensor, it also uses the light intensity threshold</t>
  </si>
  <si>
    <t>doesn’t check sensor reading, always set light to medium brightness level</t>
  </si>
  <si>
    <t>AttributeError</t>
  </si>
  <si>
    <t>AttributeError, cannot find the sensor;</t>
  </si>
  <si>
    <t>doesn’t check sensor reading, always set light to high brightness level</t>
  </si>
  <si>
    <t xml:space="preserve">ModuleNotFoundError; doesn't use home_plan as a global variable; doesn’t check sensor reading, always set light to medium brightness level; </t>
  </si>
  <si>
    <t>ModuleNotFoundError; doesn't use home_plan as a global variable;</t>
  </si>
  <si>
    <t>every time finds a light, the function will ergodic all light intensity sensors and control this light's status</t>
  </si>
  <si>
    <t>NameError;✅</t>
  </si>
  <si>
    <t>NameError; use all light intensive sensor readings to trigger living room lights multiple times</t>
  </si>
  <si>
    <t>only control the first found light in the living room</t>
  </si>
  <si>
    <t>✅; the temp contrl logic blocks the execution of light control logic</t>
  </si>
  <si>
    <t>cannot get sensor readings; every sensor reading will trigger all related actuators at home</t>
  </si>
  <si>
    <t>cannot get sensor readings; dose not trigger any device to control humidity</t>
  </si>
  <si>
    <t>cannot get sensor readings; cannot find the device correctly, it will only keep the last found actuator of each type.</t>
  </si>
  <si>
    <t>cannot get sensor readings; not all the rooms have temp, humidity and light intensity sensor at the same time.</t>
  </si>
  <si>
    <t>cannot get sensor readings; IndexError, not all the rooms have temp, humidity and light intensity sensor at the same time.</t>
  </si>
  <si>
    <t>cannot get sensor readings, it takes the avg temp, but as sensor reading is not available, this avg result is 0</t>
  </si>
  <si>
    <t>cannot get sensor readings, it takes the avg temp, but as sensor reading is not available, this avg result is 1</t>
  </si>
  <si>
    <t>cannot get sensor readings, it takes the avg temp, but as sensor reading is not available, this avg result is 2</t>
  </si>
  <si>
    <t>cannot get sensor readings; import erors; ✅</t>
  </si>
  <si>
    <t>cannot get sensor readings; cannot adjust temp properly</t>
  </si>
  <si>
    <t>cannot get sensor readings; wrongly trigger heaters</t>
  </si>
  <si>
    <t>cannot get sensor readings;only trigger one light when there are multiple ones</t>
  </si>
  <si>
    <t>cannot get sensor readings;only triggers the first found light; cannot set brightness level</t>
  </si>
  <si>
    <t>cannot get sensor readings;cannot set brightness level</t>
  </si>
  <si>
    <t>NameError; cannot find sensors</t>
  </si>
  <si>
    <t>NameError; cannot set brightness level</t>
  </si>
  <si>
    <t>only triggers the first found light; cannot set brightness level</t>
  </si>
  <si>
    <t xml:space="preserve">the generated function quality generally does not changed. in some case of gpt4o(cannot get sensor readings for all three perspectives), the quality increases </t>
  </si>
  <si>
    <t>cannot set brightness level; cannot start cleaning robot; ✅</t>
  </si>
  <si>
    <t>cannot set brightness level; ✅</t>
  </si>
  <si>
    <t>cannot start cleaning robot; ✅</t>
  </si>
  <si>
    <t>cannot find both indoor and outdoor sensors in the  same room; 2nd logic is wrong</t>
  </si>
  <si>
    <t xml:space="preserve">cannot find outdoor temp sensor correctly; only trigger one window when there are multiple ones </t>
  </si>
  <si>
    <t>cannot find both indoor and outdoor sensors in the  same room;✅</t>
  </si>
  <si>
    <t>NameError;cannot find both indoor and outdoor sensors in the  same room; only trigger one window when ther are multiple ones</t>
  </si>
  <si>
    <t>cannot find both indoor and outdoor sensors in the  same room; only trigger one window when there are multiple ones</t>
  </si>
  <si>
    <t>cannot find both indoor and outdoor sensors in the  same room; only checks the first ac when there are multiple ones</t>
  </si>
  <si>
    <t>only trigger one light when there are multiple ones</t>
  </si>
  <si>
    <t>cannot find coffe machine; only trigger one light when there are multiple ones</t>
  </si>
  <si>
    <t>only trigger one light when there are multiple ones; does not control ac</t>
  </si>
  <si>
    <t>cannot find coffe machine</t>
  </si>
  <si>
    <t>the function turns off all devices in the bedroom</t>
  </si>
  <si>
    <t>only one light is turned off, but there are 2</t>
  </si>
  <si>
    <t>NameError;cannot set brightness level; only triggers the first found light</t>
  </si>
  <si>
    <t>only turn off one of the living room lights; ✅</t>
  </si>
  <si>
    <t>TypeError; cannot get sensor readings</t>
  </si>
  <si>
    <t>only trigger living room actuators</t>
  </si>
  <si>
    <t>NameError(import); cannot find the room</t>
  </si>
  <si>
    <t>NameError(import);only trigger the actuators in the living room</t>
  </si>
  <si>
    <t>NameError(import);cannot find the room</t>
  </si>
  <si>
    <t>cannot find the actuators</t>
  </si>
  <si>
    <t>cannot find coffee machine;✅</t>
  </si>
  <si>
    <t>TypeError,cannot find the actuators</t>
  </si>
  <si>
    <t>invaild brightness level; only trigger one light when there are multiple ones</t>
  </si>
  <si>
    <t>cannot set brightness level; only trigger one light when there are multiple ones</t>
  </si>
  <si>
    <t>TypeError; cannot get sensor readings; cannot find coffee machine</t>
  </si>
  <si>
    <t>only trigger living room actuators and only trigger one when there are ones</t>
  </si>
  <si>
    <t>TypeError; cannot find actuator; import errors</t>
  </si>
  <si>
    <t>NameError; cannot find actuators</t>
  </si>
  <si>
    <t>TypeError; cannot get sensor readings; cannot find music player</t>
  </si>
  <si>
    <t>TypeError; cannot get sensor readings; import errors</t>
  </si>
  <si>
    <t>cannot find actuators</t>
  </si>
  <si>
    <t>TypeError; cannot get sensor readings; cannot find coffee machine and music player</t>
  </si>
  <si>
    <t>TypeError; cannot get sensor readings; cannot find lights and door</t>
  </si>
  <si>
    <t>TypeError; cannot get sensor readings; ✅</t>
  </si>
  <si>
    <t>cannott get sensor readings; easuring whether it's sunny by temperature</t>
  </si>
  <si>
    <t>TypeError; cannot find actuator;</t>
  </si>
  <si>
    <t xml:space="preserve">✅ </t>
  </si>
  <si>
    <t>TypeError; cannot find actuators</t>
  </si>
  <si>
    <t>the function create new sensor not using the home existing one</t>
  </si>
  <si>
    <t>get a fake sensor reading</t>
  </si>
  <si>
    <t>cannot find coffee machine; cannot get sensor readings</t>
  </si>
  <si>
    <t>cannot find coffee machine; canot set brightness level</t>
  </si>
  <si>
    <t>cannot set brightness level; only find one light when there are ones</t>
  </si>
  <si>
    <t>NameError;get a fake sensor reading; cannot get actuators</t>
  </si>
  <si>
    <t>NameError; cannot find door;</t>
  </si>
  <si>
    <t>NameError; cannot find curtain</t>
  </si>
  <si>
    <t>NameError; cannot find curtain; cannot set brightness level</t>
  </si>
  <si>
    <t>ModuleNotFoundError; every sensor reading will trigger all actuators at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</si>
</sst>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9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0"/>
      <name val="Arial"/>
      <family val="2"/>
    </font>
    <font>
      <sz val="12"/>
      <color rgb="FF000000"/>
      <name val="Aptos Narrow"/>
      <scheme val="minor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9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3" fillId="0" borderId="0" xfId="0" applyFont="1"/>
    <xf numFmtId="0" fontId="4" fillId="0" borderId="1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19" xfId="0" applyFont="1" applyBorder="1"/>
    <xf numFmtId="0" fontId="5" fillId="0" borderId="12" xfId="0" applyFont="1" applyBorder="1"/>
    <xf numFmtId="0" fontId="6" fillId="4" borderId="3" xfId="0" applyFont="1" applyFill="1" applyBorder="1" applyAlignment="1">
      <alignment horizontal="left"/>
    </xf>
    <xf numFmtId="0" fontId="6" fillId="6" borderId="21" xfId="0" applyFont="1" applyFill="1" applyBorder="1" applyAlignment="1">
      <alignment horizontal="left"/>
    </xf>
    <xf numFmtId="0" fontId="4" fillId="0" borderId="22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6" fillId="5" borderId="26" xfId="1" applyFill="1" applyBorder="1" applyAlignment="1">
      <alignment horizontal="left"/>
    </xf>
    <xf numFmtId="0" fontId="6" fillId="4" borderId="26" xfId="0" applyFont="1" applyFill="1" applyBorder="1" applyAlignment="1">
      <alignment horizontal="left"/>
    </xf>
    <xf numFmtId="0" fontId="6" fillId="6" borderId="3" xfId="1" applyFill="1" applyBorder="1"/>
    <xf numFmtId="0" fontId="6" fillId="7" borderId="3" xfId="1" applyFill="1" applyBorder="1"/>
    <xf numFmtId="0" fontId="6" fillId="7" borderId="6" xfId="1" applyFill="1" applyBorder="1" applyAlignment="1">
      <alignment horizontal="left" vertical="center"/>
    </xf>
    <xf numFmtId="0" fontId="6" fillId="5" borderId="2" xfId="1" applyFill="1" applyBorder="1"/>
    <xf numFmtId="0" fontId="6" fillId="8" borderId="3" xfId="0" applyFont="1" applyFill="1" applyBorder="1" applyAlignment="1">
      <alignment horizontal="left"/>
    </xf>
    <xf numFmtId="0" fontId="4" fillId="0" borderId="28" xfId="0" applyFont="1" applyBorder="1" applyAlignment="1">
      <alignment horizontal="center"/>
    </xf>
    <xf numFmtId="0" fontId="5" fillId="6" borderId="23" xfId="0" applyFont="1" applyFill="1" applyBorder="1"/>
    <xf numFmtId="0" fontId="6" fillId="7" borderId="4" xfId="1" applyFill="1" applyBorder="1" applyAlignment="1">
      <alignment horizontal="left"/>
    </xf>
    <xf numFmtId="0" fontId="6" fillId="6" borderId="4" xfId="1" applyFill="1" applyBorder="1" applyAlignment="1">
      <alignment horizontal="left"/>
    </xf>
    <xf numFmtId="0" fontId="5" fillId="6" borderId="18" xfId="0" applyFont="1" applyFill="1" applyBorder="1"/>
    <xf numFmtId="0" fontId="7" fillId="7" borderId="22" xfId="0" applyFont="1" applyFill="1" applyBorder="1" applyAlignment="1">
      <alignment horizontal="left"/>
    </xf>
    <xf numFmtId="0" fontId="6" fillId="9" borderId="4" xfId="0" applyFont="1" applyFill="1" applyBorder="1" applyAlignment="1">
      <alignment horizontal="left"/>
    </xf>
    <xf numFmtId="0" fontId="6" fillId="5" borderId="1" xfId="1" applyFill="1" applyBorder="1" applyAlignment="1">
      <alignment horizontal="center"/>
    </xf>
    <xf numFmtId="0" fontId="6" fillId="6" borderId="1" xfId="1" applyFill="1" applyBorder="1" applyAlignment="1">
      <alignment horizontal="center"/>
    </xf>
    <xf numFmtId="0" fontId="6" fillId="7" borderId="1" xfId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29" xfId="0" applyFont="1" applyBorder="1" applyAlignment="1">
      <alignment horizontal="center" vertical="center"/>
    </xf>
    <xf numFmtId="0" fontId="6" fillId="0" borderId="0" xfId="1"/>
    <xf numFmtId="0" fontId="6" fillId="2" borderId="2" xfId="1" applyFill="1" applyBorder="1" applyAlignment="1">
      <alignment horizontal="center" vertical="center"/>
    </xf>
    <xf numFmtId="0" fontId="6" fillId="2" borderId="6" xfId="1" applyFill="1" applyBorder="1" applyAlignment="1">
      <alignment horizontal="center" vertical="center"/>
    </xf>
    <xf numFmtId="0" fontId="0" fillId="0" borderId="30" xfId="0" applyBorder="1"/>
    <xf numFmtId="0" fontId="6" fillId="0" borderId="2" xfId="1" applyBorder="1"/>
    <xf numFmtId="0" fontId="6" fillId="0" borderId="4" xfId="1" applyBorder="1" applyAlignment="1">
      <alignment horizontal="left"/>
    </xf>
    <xf numFmtId="0" fontId="6" fillId="0" borderId="17" xfId="1" applyBorder="1"/>
    <xf numFmtId="0" fontId="6" fillId="0" borderId="23" xfId="1" applyBorder="1"/>
    <xf numFmtId="0" fontId="6" fillId="0" borderId="24" xfId="0" applyFont="1" applyBorder="1" applyAlignment="1">
      <alignment horizontal="left"/>
    </xf>
    <xf numFmtId="0" fontId="5" fillId="6" borderId="24" xfId="0" applyFont="1" applyFill="1" applyBorder="1"/>
    <xf numFmtId="0" fontId="5" fillId="7" borderId="24" xfId="0" applyFont="1" applyFill="1" applyBorder="1"/>
    <xf numFmtId="0" fontId="6" fillId="0" borderId="3" xfId="0" applyFont="1" applyBorder="1" applyAlignment="1">
      <alignment horizontal="left"/>
    </xf>
    <xf numFmtId="0" fontId="6" fillId="0" borderId="32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6" fillId="0" borderId="33" xfId="0" applyFont="1" applyBorder="1" applyAlignment="1">
      <alignment horizontal="left"/>
    </xf>
    <xf numFmtId="0" fontId="6" fillId="0" borderId="32" xfId="1" applyBorder="1"/>
    <xf numFmtId="0" fontId="6" fillId="0" borderId="34" xfId="0" applyFont="1" applyBorder="1" applyAlignment="1">
      <alignment horizontal="left"/>
    </xf>
    <xf numFmtId="0" fontId="0" fillId="7" borderId="4" xfId="0" applyFill="1" applyBorder="1"/>
    <xf numFmtId="0" fontId="0" fillId="6" borderId="4" xfId="0" applyFill="1" applyBorder="1"/>
    <xf numFmtId="0" fontId="6" fillId="0" borderId="0" xfId="1" applyAlignment="1">
      <alignment horizontal="center"/>
    </xf>
    <xf numFmtId="0" fontId="6" fillId="0" borderId="35" xfId="1" applyBorder="1"/>
    <xf numFmtId="164" fontId="0" fillId="2" borderId="30" xfId="0" applyNumberFormat="1" applyFill="1" applyBorder="1"/>
    <xf numFmtId="0" fontId="0" fillId="2" borderId="30" xfId="0" applyFill="1" applyBorder="1"/>
    <xf numFmtId="164" fontId="0" fillId="2" borderId="7" xfId="0" applyNumberFormat="1" applyFill="1" applyBorder="1"/>
    <xf numFmtId="0" fontId="0" fillId="10" borderId="0" xfId="0" applyFill="1"/>
    <xf numFmtId="0" fontId="6" fillId="0" borderId="17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22" xfId="1" applyBorder="1" applyAlignment="1">
      <alignment horizontal="left"/>
    </xf>
    <xf numFmtId="0" fontId="6" fillId="0" borderId="23" xfId="1" applyBorder="1" applyAlignment="1">
      <alignment horizontal="left"/>
    </xf>
    <xf numFmtId="0" fontId="6" fillId="0" borderId="36" xfId="1" applyBorder="1" applyAlignment="1">
      <alignment horizontal="left"/>
    </xf>
    <xf numFmtId="0" fontId="6" fillId="0" borderId="37" xfId="1" applyBorder="1" applyAlignment="1">
      <alignment horizontal="left" vertical="center"/>
    </xf>
    <xf numFmtId="0" fontId="6" fillId="0" borderId="0" xfId="1" applyAlignment="1">
      <alignment horizontal="left" vertical="center"/>
    </xf>
    <xf numFmtId="0" fontId="6" fillId="0" borderId="0" xfId="1" applyAlignment="1">
      <alignment vertical="center"/>
    </xf>
    <xf numFmtId="0" fontId="6" fillId="8" borderId="21" xfId="0" applyFont="1" applyFill="1" applyBorder="1" applyAlignment="1">
      <alignment horizontal="left"/>
    </xf>
    <xf numFmtId="0" fontId="6" fillId="7" borderId="21" xfId="0" applyFont="1" applyFill="1" applyBorder="1" applyAlignment="1">
      <alignment horizontal="left"/>
    </xf>
    <xf numFmtId="0" fontId="6" fillId="11" borderId="0" xfId="0" applyFont="1" applyFill="1" applyAlignment="1">
      <alignment horizontal="left"/>
    </xf>
    <xf numFmtId="0" fontId="6" fillId="8" borderId="1" xfId="0" applyFont="1" applyFill="1" applyBorder="1" applyAlignment="1">
      <alignment horizontal="left"/>
    </xf>
    <xf numFmtId="0" fontId="5" fillId="7" borderId="23" xfId="0" applyFont="1" applyFill="1" applyBorder="1"/>
    <xf numFmtId="0" fontId="6" fillId="9" borderId="1" xfId="0" applyFont="1" applyFill="1" applyBorder="1" applyAlignment="1">
      <alignment horizontal="left"/>
    </xf>
    <xf numFmtId="0" fontId="6" fillId="8" borderId="3" xfId="0" applyFont="1" applyFill="1" applyBorder="1"/>
    <xf numFmtId="0" fontId="0" fillId="6" borderId="5" xfId="0" applyFill="1" applyBorder="1"/>
    <xf numFmtId="0" fontId="0" fillId="7" borderId="5" xfId="0" applyFill="1" applyBorder="1"/>
    <xf numFmtId="0" fontId="6" fillId="9" borderId="21" xfId="0" applyFont="1" applyFill="1" applyBorder="1" applyAlignment="1">
      <alignment horizontal="left"/>
    </xf>
    <xf numFmtId="0" fontId="0" fillId="10" borderId="0" xfId="0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4" fontId="6" fillId="2" borderId="30" xfId="1" applyNumberFormat="1" applyFill="1" applyBorder="1" applyAlignment="1">
      <alignment horizontal="center" vertical="center"/>
    </xf>
    <xf numFmtId="164" fontId="6" fillId="2" borderId="31" xfId="1" applyNumberFormat="1" applyFill="1" applyBorder="1" applyAlignment="1">
      <alignment horizontal="center" vertical="center"/>
    </xf>
    <xf numFmtId="164" fontId="6" fillId="2" borderId="7" xfId="1" applyNumberFormat="1" applyFill="1" applyBorder="1" applyAlignment="1">
      <alignment horizontal="center" vertical="center"/>
    </xf>
    <xf numFmtId="164" fontId="6" fillId="2" borderId="8" xfId="1" applyNumberForma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2">
    <cellStyle name="Normal" xfId="0" builtinId="0"/>
    <cellStyle name="Normal 2" xfId="1" xr:uid="{F331DF96-8B6C-6A49-9118-2974C11BE9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2036-C3A6-514D-9574-BEC5D8C59B8C}">
  <dimension ref="A1:K29"/>
  <sheetViews>
    <sheetView zoomScale="150" zoomScaleNormal="200" workbookViewId="0">
      <selection activeCell="F33" sqref="F33"/>
    </sheetView>
  </sheetViews>
  <sheetFormatPr baseColWidth="10" defaultRowHeight="16" x14ac:dyDescent="0.2"/>
  <cols>
    <col min="1" max="1" width="10.83203125" style="5"/>
  </cols>
  <sheetData>
    <row r="1" spans="1:7" s="1" customFormat="1" x14ac:dyDescent="0.2">
      <c r="A1" s="78" t="s">
        <v>8</v>
      </c>
      <c r="B1" s="78"/>
      <c r="C1" s="78"/>
      <c r="D1" s="78"/>
      <c r="E1" s="78"/>
      <c r="F1" s="78"/>
      <c r="G1" s="79"/>
    </row>
    <row r="2" spans="1:7" x14ac:dyDescent="0.2">
      <c r="A2" s="81" t="s">
        <v>0</v>
      </c>
      <c r="B2" s="80" t="s">
        <v>28</v>
      </c>
      <c r="C2" s="80"/>
      <c r="D2" s="80" t="s">
        <v>3</v>
      </c>
      <c r="E2" s="80"/>
      <c r="F2" s="80" t="s">
        <v>4</v>
      </c>
      <c r="G2" s="80"/>
    </row>
    <row r="3" spans="1:7" x14ac:dyDescent="0.2">
      <c r="A3" s="82"/>
      <c r="B3" s="2" t="s">
        <v>1</v>
      </c>
      <c r="C3" s="2" t="s">
        <v>2</v>
      </c>
      <c r="D3" s="2" t="s">
        <v>1</v>
      </c>
      <c r="E3" s="2" t="s">
        <v>2</v>
      </c>
      <c r="F3" s="2" t="s">
        <v>1</v>
      </c>
      <c r="G3" s="2" t="s">
        <v>2</v>
      </c>
    </row>
    <row r="4" spans="1:7" x14ac:dyDescent="0.2">
      <c r="A4" s="2">
        <v>0</v>
      </c>
      <c r="B4" s="10" t="s">
        <v>9</v>
      </c>
      <c r="C4" s="10" t="s">
        <v>9</v>
      </c>
      <c r="D4" s="11" t="s">
        <v>19</v>
      </c>
      <c r="E4" s="11" t="s">
        <v>47</v>
      </c>
      <c r="F4" s="17" t="s">
        <v>64</v>
      </c>
      <c r="G4" s="11" t="s">
        <v>19</v>
      </c>
    </row>
    <row r="5" spans="1:7" x14ac:dyDescent="0.2">
      <c r="A5" s="2"/>
      <c r="B5" s="44"/>
      <c r="C5" s="45"/>
      <c r="D5" s="46"/>
      <c r="E5" s="47"/>
      <c r="F5" s="48"/>
      <c r="G5" s="49"/>
    </row>
    <row r="6" spans="1:7" x14ac:dyDescent="0.2">
      <c r="A6" s="2">
        <v>1</v>
      </c>
      <c r="B6" s="10" t="s">
        <v>9</v>
      </c>
      <c r="C6" s="11" t="s">
        <v>120</v>
      </c>
      <c r="D6" s="11" t="s">
        <v>19</v>
      </c>
      <c r="E6" s="11" t="s">
        <v>123</v>
      </c>
      <c r="F6" s="17" t="s">
        <v>65</v>
      </c>
      <c r="G6" s="11" t="s">
        <v>124</v>
      </c>
    </row>
    <row r="7" spans="1:7" x14ac:dyDescent="0.2">
      <c r="A7" s="2">
        <v>2</v>
      </c>
      <c r="B7" s="10" t="s">
        <v>9</v>
      </c>
      <c r="C7" s="10" t="s">
        <v>9</v>
      </c>
      <c r="D7" s="20" t="s">
        <v>57</v>
      </c>
      <c r="E7" s="11" t="s">
        <v>19</v>
      </c>
      <c r="F7" s="11" t="s">
        <v>62</v>
      </c>
      <c r="G7" s="11" t="s">
        <v>125</v>
      </c>
    </row>
    <row r="8" spans="1:7" x14ac:dyDescent="0.2">
      <c r="A8" s="2">
        <v>3</v>
      </c>
      <c r="B8" s="10" t="s">
        <v>9</v>
      </c>
      <c r="C8" s="11" t="s">
        <v>121</v>
      </c>
      <c r="D8" s="11" t="s">
        <v>19</v>
      </c>
      <c r="E8" s="11" t="s">
        <v>19</v>
      </c>
      <c r="F8" s="11" t="s">
        <v>62</v>
      </c>
      <c r="G8" s="11" t="s">
        <v>125</v>
      </c>
    </row>
    <row r="9" spans="1:7" x14ac:dyDescent="0.2">
      <c r="A9" s="2">
        <v>4</v>
      </c>
      <c r="B9" s="10" t="s">
        <v>9</v>
      </c>
      <c r="C9" s="11" t="s">
        <v>121</v>
      </c>
      <c r="D9" s="11" t="s">
        <v>19</v>
      </c>
      <c r="E9" s="11" t="s">
        <v>19</v>
      </c>
      <c r="F9" s="11" t="s">
        <v>19</v>
      </c>
      <c r="G9" s="11" t="s">
        <v>125</v>
      </c>
    </row>
    <row r="10" spans="1:7" x14ac:dyDescent="0.2">
      <c r="A10" s="2">
        <v>5</v>
      </c>
      <c r="B10" s="10" t="s">
        <v>56</v>
      </c>
      <c r="C10" s="11" t="s">
        <v>121</v>
      </c>
      <c r="D10" s="50" t="s">
        <v>58</v>
      </c>
      <c r="E10" s="11" t="s">
        <v>19</v>
      </c>
      <c r="F10" s="11" t="s">
        <v>19</v>
      </c>
      <c r="G10" s="11" t="s">
        <v>125</v>
      </c>
    </row>
    <row r="11" spans="1:7" x14ac:dyDescent="0.2">
      <c r="A11" s="2">
        <v>6</v>
      </c>
      <c r="B11" s="10" t="s">
        <v>56</v>
      </c>
      <c r="C11" s="11" t="s">
        <v>121</v>
      </c>
      <c r="D11" s="11" t="s">
        <v>19</v>
      </c>
      <c r="E11" s="11" t="s">
        <v>19</v>
      </c>
      <c r="F11" s="50" t="s">
        <v>61</v>
      </c>
      <c r="G11" s="75" t="s">
        <v>126</v>
      </c>
    </row>
    <row r="12" spans="1:7" x14ac:dyDescent="0.2">
      <c r="A12" s="2">
        <v>7</v>
      </c>
      <c r="B12" s="11" t="s">
        <v>12</v>
      </c>
      <c r="C12" s="10" t="s">
        <v>9</v>
      </c>
      <c r="D12" s="11" t="s">
        <v>19</v>
      </c>
      <c r="E12" s="11" t="s">
        <v>19</v>
      </c>
      <c r="F12" s="16" t="s">
        <v>20</v>
      </c>
      <c r="G12" s="11" t="s">
        <v>127</v>
      </c>
    </row>
    <row r="13" spans="1:7" x14ac:dyDescent="0.2">
      <c r="A13" s="2">
        <v>8</v>
      </c>
      <c r="B13" s="10" t="s">
        <v>9</v>
      </c>
      <c r="C13" s="11" t="s">
        <v>121</v>
      </c>
      <c r="D13" s="11" t="s">
        <v>19</v>
      </c>
      <c r="E13" s="11" t="s">
        <v>19</v>
      </c>
      <c r="F13" s="51" t="s">
        <v>63</v>
      </c>
      <c r="G13" s="74" t="s">
        <v>20</v>
      </c>
    </row>
    <row r="14" spans="1:7" x14ac:dyDescent="0.2">
      <c r="A14" s="2">
        <v>9</v>
      </c>
      <c r="B14" s="10" t="s">
        <v>9</v>
      </c>
      <c r="C14" s="11" t="s">
        <v>121</v>
      </c>
      <c r="D14" s="11" t="s">
        <v>59</v>
      </c>
      <c r="E14" s="11" t="s">
        <v>19</v>
      </c>
      <c r="F14" s="11" t="s">
        <v>62</v>
      </c>
      <c r="G14" s="11" t="s">
        <v>128</v>
      </c>
    </row>
    <row r="15" spans="1:7" x14ac:dyDescent="0.2">
      <c r="A15" s="2">
        <v>10</v>
      </c>
      <c r="B15" s="3"/>
      <c r="C15" s="11" t="s">
        <v>122</v>
      </c>
      <c r="D15" s="50" t="s">
        <v>60</v>
      </c>
      <c r="E15" s="11" t="s">
        <v>19</v>
      </c>
      <c r="F15" s="11" t="s">
        <v>19</v>
      </c>
      <c r="G15" s="11" t="s">
        <v>125</v>
      </c>
    </row>
    <row r="18" spans="1:11" x14ac:dyDescent="0.2">
      <c r="A18" s="28" t="s">
        <v>41</v>
      </c>
      <c r="B18" s="28">
        <v>8</v>
      </c>
      <c r="C18" s="28">
        <v>2</v>
      </c>
      <c r="D18" s="28">
        <v>0</v>
      </c>
      <c r="E18" s="28">
        <v>0</v>
      </c>
      <c r="F18" s="28">
        <v>0</v>
      </c>
      <c r="G18" s="28">
        <v>0</v>
      </c>
    </row>
    <row r="19" spans="1:11" x14ac:dyDescent="0.2">
      <c r="A19" s="29" t="s">
        <v>42</v>
      </c>
      <c r="B19" s="29">
        <v>1</v>
      </c>
      <c r="C19" s="29">
        <v>8</v>
      </c>
      <c r="D19" s="29">
        <v>8</v>
      </c>
      <c r="E19" s="29">
        <v>10</v>
      </c>
      <c r="F19" s="29">
        <v>8</v>
      </c>
      <c r="G19" s="29">
        <v>9</v>
      </c>
    </row>
    <row r="20" spans="1:11" x14ac:dyDescent="0.2">
      <c r="A20" s="30" t="s">
        <v>43</v>
      </c>
      <c r="B20" s="30">
        <v>0</v>
      </c>
      <c r="C20" s="30">
        <v>0</v>
      </c>
      <c r="D20" s="30">
        <v>2</v>
      </c>
      <c r="E20" s="30">
        <v>0</v>
      </c>
      <c r="F20" s="30">
        <v>2</v>
      </c>
      <c r="G20" s="30">
        <v>1</v>
      </c>
    </row>
    <row r="21" spans="1:11" x14ac:dyDescent="0.2">
      <c r="A21" s="31" t="s">
        <v>44</v>
      </c>
      <c r="B21" s="32">
        <f t="shared" ref="B21:F21" si="0">SUM(B18:B20)</f>
        <v>9</v>
      </c>
      <c r="C21" s="32">
        <f t="shared" si="0"/>
        <v>10</v>
      </c>
      <c r="D21" s="32">
        <f t="shared" si="0"/>
        <v>10</v>
      </c>
      <c r="E21" s="32">
        <f t="shared" si="0"/>
        <v>10</v>
      </c>
      <c r="F21" s="32">
        <f t="shared" si="0"/>
        <v>10</v>
      </c>
      <c r="G21" s="32">
        <f>SUM(G18:G20)</f>
        <v>10</v>
      </c>
    </row>
    <row r="22" spans="1:11" x14ac:dyDescent="0.2">
      <c r="A22" s="52"/>
      <c r="B22" s="33"/>
      <c r="C22" s="33"/>
      <c r="D22" s="33"/>
      <c r="E22" s="33"/>
      <c r="F22" s="33"/>
      <c r="G22" s="53"/>
    </row>
    <row r="23" spans="1:11" x14ac:dyDescent="0.2">
      <c r="A23" s="52"/>
      <c r="B23" s="33"/>
      <c r="C23" s="33"/>
      <c r="D23" s="33"/>
      <c r="E23" s="33"/>
      <c r="F23" s="33"/>
      <c r="G23" s="53"/>
    </row>
    <row r="24" spans="1:11" x14ac:dyDescent="0.2">
      <c r="A24" s="34" t="s">
        <v>45</v>
      </c>
      <c r="B24" s="54">
        <f t="shared" ref="B24:G24" si="1">B18/B21</f>
        <v>0.88888888888888884</v>
      </c>
      <c r="C24" s="54">
        <f t="shared" si="1"/>
        <v>0.2</v>
      </c>
      <c r="D24" s="54">
        <f t="shared" si="1"/>
        <v>0</v>
      </c>
      <c r="E24" s="54">
        <f t="shared" si="1"/>
        <v>0</v>
      </c>
      <c r="F24" s="55">
        <f t="shared" si="1"/>
        <v>0</v>
      </c>
      <c r="G24" s="55">
        <f t="shared" si="1"/>
        <v>0</v>
      </c>
    </row>
    <row r="25" spans="1:11" x14ac:dyDescent="0.2">
      <c r="A25" s="35" t="s">
        <v>46</v>
      </c>
      <c r="B25" s="56">
        <f t="shared" ref="B25:G25" si="2">SUM(B18,B19)/B21</f>
        <v>1</v>
      </c>
      <c r="C25" s="56">
        <f t="shared" si="2"/>
        <v>1</v>
      </c>
      <c r="D25" s="56">
        <f t="shared" si="2"/>
        <v>0.8</v>
      </c>
      <c r="E25" s="56">
        <f t="shared" si="2"/>
        <v>1</v>
      </c>
      <c r="F25" s="56">
        <f t="shared" si="2"/>
        <v>0.8</v>
      </c>
      <c r="G25" s="56">
        <f t="shared" si="2"/>
        <v>0.9</v>
      </c>
    </row>
    <row r="27" spans="1:11" x14ac:dyDescent="0.2">
      <c r="D27" s="57" t="s">
        <v>66</v>
      </c>
    </row>
    <row r="28" spans="1:11" x14ac:dyDescent="0.2">
      <c r="F28" s="57" t="s">
        <v>67</v>
      </c>
    </row>
    <row r="29" spans="1:11" x14ac:dyDescent="0.2">
      <c r="D29" s="77" t="s">
        <v>68</v>
      </c>
      <c r="E29" s="77"/>
      <c r="F29" s="77"/>
      <c r="G29" s="77"/>
      <c r="H29" s="77"/>
      <c r="I29" s="77"/>
      <c r="J29" s="77"/>
      <c r="K29" s="77"/>
    </row>
  </sheetData>
  <mergeCells count="6">
    <mergeCell ref="D29:K29"/>
    <mergeCell ref="A1:G1"/>
    <mergeCell ref="B2:C2"/>
    <mergeCell ref="D2:E2"/>
    <mergeCell ref="F2:G2"/>
    <mergeCell ref="A2:A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1A02-A709-5A4F-A687-D8E9A288CE55}">
  <dimension ref="A1:S30"/>
  <sheetViews>
    <sheetView zoomScale="150" zoomScaleNormal="160" workbookViewId="0">
      <selection activeCell="Q24" sqref="Q24"/>
    </sheetView>
  </sheetViews>
  <sheetFormatPr baseColWidth="10" defaultRowHeight="16" x14ac:dyDescent="0.2"/>
  <sheetData>
    <row r="1" spans="1:19" x14ac:dyDescent="0.2">
      <c r="A1" s="87" t="s">
        <v>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8"/>
    </row>
    <row r="2" spans="1:19" x14ac:dyDescent="0.2">
      <c r="A2" s="93" t="s">
        <v>0</v>
      </c>
      <c r="B2" s="89" t="s">
        <v>28</v>
      </c>
      <c r="C2" s="89"/>
      <c r="D2" s="89"/>
      <c r="E2" s="89"/>
      <c r="F2" s="89"/>
      <c r="G2" s="90"/>
      <c r="H2" s="90" t="s">
        <v>3</v>
      </c>
      <c r="I2" s="91"/>
      <c r="J2" s="91"/>
      <c r="K2" s="91"/>
      <c r="L2" s="91"/>
      <c r="M2" s="92"/>
      <c r="N2" s="90" t="s">
        <v>4</v>
      </c>
      <c r="O2" s="91"/>
      <c r="P2" s="91"/>
      <c r="Q2" s="91"/>
      <c r="R2" s="91"/>
      <c r="S2" s="92"/>
    </row>
    <row r="3" spans="1:19" x14ac:dyDescent="0.2">
      <c r="A3" s="94"/>
      <c r="B3" s="89" t="s">
        <v>1</v>
      </c>
      <c r="C3" s="89"/>
      <c r="D3" s="89"/>
      <c r="E3" s="89" t="s">
        <v>2</v>
      </c>
      <c r="F3" s="89"/>
      <c r="G3" s="90"/>
      <c r="H3" s="90" t="s">
        <v>1</v>
      </c>
      <c r="I3" s="91"/>
      <c r="J3" s="92"/>
      <c r="K3" s="90" t="s">
        <v>2</v>
      </c>
      <c r="L3" s="91"/>
      <c r="M3" s="92"/>
      <c r="N3" s="90" t="s">
        <v>1</v>
      </c>
      <c r="O3" s="91"/>
      <c r="P3" s="92"/>
      <c r="Q3" s="90" t="s">
        <v>2</v>
      </c>
      <c r="R3" s="91"/>
      <c r="S3" s="92"/>
    </row>
    <row r="4" spans="1:19" x14ac:dyDescent="0.2">
      <c r="A4" s="94"/>
      <c r="B4" s="21" t="s">
        <v>24</v>
      </c>
      <c r="C4" s="21" t="s">
        <v>25</v>
      </c>
      <c r="D4" s="21" t="s">
        <v>26</v>
      </c>
      <c r="E4" s="21" t="s">
        <v>24</v>
      </c>
      <c r="F4" s="21" t="s">
        <v>25</v>
      </c>
      <c r="G4" s="21" t="s">
        <v>26</v>
      </c>
      <c r="H4" s="21" t="s">
        <v>24</v>
      </c>
      <c r="I4" s="21" t="s">
        <v>25</v>
      </c>
      <c r="J4" s="21" t="s">
        <v>26</v>
      </c>
      <c r="K4" s="21" t="s">
        <v>24</v>
      </c>
      <c r="L4" s="21" t="s">
        <v>25</v>
      </c>
      <c r="M4" s="21" t="s">
        <v>26</v>
      </c>
      <c r="N4" s="21" t="s">
        <v>24</v>
      </c>
      <c r="O4" s="21" t="s">
        <v>25</v>
      </c>
      <c r="P4" s="21" t="s">
        <v>26</v>
      </c>
      <c r="Q4" s="21" t="s">
        <v>24</v>
      </c>
      <c r="R4" s="21" t="s">
        <v>25</v>
      </c>
      <c r="S4" s="21" t="s">
        <v>26</v>
      </c>
    </row>
    <row r="5" spans="1:19" x14ac:dyDescent="0.2">
      <c r="A5" s="7">
        <v>0</v>
      </c>
      <c r="B5" s="19" t="s">
        <v>9</v>
      </c>
      <c r="C5" s="23" t="s">
        <v>33</v>
      </c>
      <c r="D5" s="19" t="s">
        <v>9</v>
      </c>
      <c r="E5" s="19" t="s">
        <v>9</v>
      </c>
      <c r="F5" s="19" t="s">
        <v>9</v>
      </c>
      <c r="G5" s="19" t="s">
        <v>9</v>
      </c>
      <c r="H5" s="20" t="s">
        <v>20</v>
      </c>
      <c r="I5" s="20" t="s">
        <v>21</v>
      </c>
      <c r="J5" s="20" t="s">
        <v>20</v>
      </c>
      <c r="K5" s="16" t="s">
        <v>22</v>
      </c>
      <c r="L5" s="16" t="s">
        <v>22</v>
      </c>
      <c r="M5" s="16" t="s">
        <v>23</v>
      </c>
      <c r="N5" s="19" t="s">
        <v>9</v>
      </c>
      <c r="O5" s="19" t="s">
        <v>9</v>
      </c>
      <c r="P5" s="19" t="s">
        <v>9</v>
      </c>
      <c r="Q5" s="16" t="s">
        <v>22</v>
      </c>
      <c r="R5" s="16" t="s">
        <v>22</v>
      </c>
      <c r="S5" s="16" t="s">
        <v>23</v>
      </c>
    </row>
    <row r="6" spans="1:19" x14ac:dyDescent="0.2">
      <c r="A6" s="7"/>
      <c r="B6" s="37"/>
      <c r="C6" s="38"/>
      <c r="D6" s="37"/>
      <c r="E6" s="39"/>
      <c r="F6" s="39"/>
      <c r="G6" s="40"/>
      <c r="H6" s="41"/>
      <c r="I6" s="41"/>
      <c r="J6" s="41"/>
      <c r="K6" s="39"/>
      <c r="L6" s="39"/>
      <c r="M6" s="40"/>
      <c r="N6" s="37"/>
      <c r="O6" s="40"/>
      <c r="P6" s="37"/>
      <c r="Q6" s="40"/>
      <c r="R6" s="40"/>
      <c r="S6" s="40"/>
    </row>
    <row r="7" spans="1:19" x14ac:dyDescent="0.2">
      <c r="A7" s="7">
        <v>1</v>
      </c>
      <c r="B7" s="19" t="s">
        <v>9</v>
      </c>
      <c r="C7" s="24" t="s">
        <v>32</v>
      </c>
      <c r="D7" s="19" t="s">
        <v>9</v>
      </c>
      <c r="E7" s="19" t="s">
        <v>9</v>
      </c>
      <c r="F7" s="23" t="s">
        <v>33</v>
      </c>
      <c r="G7" s="19" t="s">
        <v>9</v>
      </c>
      <c r="H7" s="19" t="s">
        <v>9</v>
      </c>
      <c r="I7" s="19" t="s">
        <v>9</v>
      </c>
      <c r="J7" s="19" t="s">
        <v>9</v>
      </c>
      <c r="K7" s="16" t="s">
        <v>106</v>
      </c>
      <c r="L7" s="16" t="s">
        <v>105</v>
      </c>
      <c r="M7" s="16" t="s">
        <v>105</v>
      </c>
      <c r="N7" s="19" t="s">
        <v>9</v>
      </c>
      <c r="O7" s="22" t="s">
        <v>27</v>
      </c>
      <c r="P7" s="19" t="s">
        <v>9</v>
      </c>
      <c r="Q7" s="16" t="s">
        <v>22</v>
      </c>
      <c r="R7" s="16" t="s">
        <v>22</v>
      </c>
      <c r="S7" s="16" t="s">
        <v>114</v>
      </c>
    </row>
    <row r="8" spans="1:19" x14ac:dyDescent="0.2">
      <c r="A8" s="7">
        <v>2</v>
      </c>
      <c r="B8" s="19" t="s">
        <v>9</v>
      </c>
      <c r="C8" s="23" t="s">
        <v>33</v>
      </c>
      <c r="D8" s="19" t="s">
        <v>9</v>
      </c>
      <c r="E8" s="20" t="s">
        <v>20</v>
      </c>
      <c r="F8" s="23" t="s">
        <v>33</v>
      </c>
      <c r="G8" s="20" t="s">
        <v>20</v>
      </c>
      <c r="H8" s="19" t="s">
        <v>9</v>
      </c>
      <c r="I8" s="19" t="s">
        <v>9</v>
      </c>
      <c r="J8" s="19" t="s">
        <v>9</v>
      </c>
      <c r="K8" s="16" t="s">
        <v>22</v>
      </c>
      <c r="L8" s="16" t="s">
        <v>22</v>
      </c>
      <c r="M8" s="16" t="s">
        <v>22</v>
      </c>
      <c r="N8" s="19" t="s">
        <v>9</v>
      </c>
      <c r="O8" s="19" t="s">
        <v>9</v>
      </c>
      <c r="P8" s="25" t="s">
        <v>34</v>
      </c>
      <c r="Q8" s="16" t="s">
        <v>22</v>
      </c>
      <c r="R8" s="16" t="s">
        <v>22</v>
      </c>
      <c r="S8" s="16" t="s">
        <v>114</v>
      </c>
    </row>
    <row r="9" spans="1:19" x14ac:dyDescent="0.2">
      <c r="A9" s="7">
        <v>3</v>
      </c>
      <c r="B9" s="19" t="s">
        <v>9</v>
      </c>
      <c r="C9" s="19" t="s">
        <v>9</v>
      </c>
      <c r="D9" s="19" t="s">
        <v>9</v>
      </c>
      <c r="E9" s="19" t="s">
        <v>9</v>
      </c>
      <c r="F9" s="23" t="s">
        <v>33</v>
      </c>
      <c r="G9" s="20" t="s">
        <v>101</v>
      </c>
      <c r="H9" s="20" t="s">
        <v>20</v>
      </c>
      <c r="I9" s="20" t="s">
        <v>20</v>
      </c>
      <c r="J9" s="20" t="s">
        <v>20</v>
      </c>
      <c r="K9" s="16" t="s">
        <v>22</v>
      </c>
      <c r="L9" s="16" t="s">
        <v>22</v>
      </c>
      <c r="M9" s="73" t="s">
        <v>22</v>
      </c>
      <c r="N9" s="19" t="s">
        <v>9</v>
      </c>
      <c r="O9" s="19" t="s">
        <v>9</v>
      </c>
      <c r="P9" s="19" t="s">
        <v>9</v>
      </c>
      <c r="Q9" s="16" t="s">
        <v>22</v>
      </c>
      <c r="R9" s="16" t="s">
        <v>22</v>
      </c>
      <c r="S9" s="16" t="s">
        <v>115</v>
      </c>
    </row>
    <row r="10" spans="1:19" x14ac:dyDescent="0.2">
      <c r="A10" s="7">
        <v>4</v>
      </c>
      <c r="B10" s="19" t="s">
        <v>9</v>
      </c>
      <c r="C10" s="23" t="s">
        <v>35</v>
      </c>
      <c r="D10" s="19" t="s">
        <v>9</v>
      </c>
      <c r="E10" s="20" t="s">
        <v>102</v>
      </c>
      <c r="F10" s="20" t="s">
        <v>103</v>
      </c>
      <c r="G10" s="20" t="s">
        <v>102</v>
      </c>
      <c r="H10" s="19" t="s">
        <v>9</v>
      </c>
      <c r="I10" s="19" t="s">
        <v>9</v>
      </c>
      <c r="J10" s="19" t="s">
        <v>9</v>
      </c>
      <c r="K10" s="16" t="s">
        <v>107</v>
      </c>
      <c r="L10" s="16" t="s">
        <v>108</v>
      </c>
      <c r="M10" s="16" t="s">
        <v>109</v>
      </c>
      <c r="N10" s="22" t="s">
        <v>48</v>
      </c>
      <c r="O10" s="22" t="s">
        <v>49</v>
      </c>
      <c r="P10" s="19" t="s">
        <v>9</v>
      </c>
      <c r="Q10" s="16" t="s">
        <v>22</v>
      </c>
      <c r="R10" s="16" t="s">
        <v>22</v>
      </c>
      <c r="S10" s="16" t="s">
        <v>115</v>
      </c>
    </row>
    <row r="11" spans="1:19" x14ac:dyDescent="0.2">
      <c r="A11" s="7">
        <v>5</v>
      </c>
      <c r="B11" s="26" t="s">
        <v>36</v>
      </c>
      <c r="C11" s="26" t="s">
        <v>37</v>
      </c>
      <c r="D11" s="26" t="s">
        <v>36</v>
      </c>
      <c r="E11" s="20" t="s">
        <v>104</v>
      </c>
      <c r="F11" s="20" t="s">
        <v>104</v>
      </c>
      <c r="G11" s="20" t="s">
        <v>104</v>
      </c>
      <c r="H11" s="19" t="s">
        <v>9</v>
      </c>
      <c r="I11" s="19" t="s">
        <v>9</v>
      </c>
      <c r="J11" s="20" t="s">
        <v>40</v>
      </c>
      <c r="K11" s="16" t="s">
        <v>110</v>
      </c>
      <c r="L11" s="16" t="s">
        <v>22</v>
      </c>
      <c r="M11" s="16" t="s">
        <v>22</v>
      </c>
      <c r="N11" s="42" t="s">
        <v>50</v>
      </c>
      <c r="O11" s="42" t="s">
        <v>50</v>
      </c>
      <c r="P11" s="19" t="s">
        <v>9</v>
      </c>
      <c r="Q11" s="16" t="s">
        <v>22</v>
      </c>
      <c r="R11" s="16" t="s">
        <v>22</v>
      </c>
      <c r="S11" s="16" t="s">
        <v>12</v>
      </c>
    </row>
    <row r="12" spans="1:19" x14ac:dyDescent="0.2">
      <c r="A12" s="7">
        <v>6</v>
      </c>
      <c r="B12" s="19" t="s">
        <v>9</v>
      </c>
      <c r="C12" s="23" t="s">
        <v>35</v>
      </c>
      <c r="D12" s="19" t="s">
        <v>9</v>
      </c>
      <c r="E12" s="20" t="s">
        <v>20</v>
      </c>
      <c r="F12" s="20" t="s">
        <v>20</v>
      </c>
      <c r="G12" s="20" t="s">
        <v>20</v>
      </c>
      <c r="H12" s="19" t="s">
        <v>9</v>
      </c>
      <c r="I12" s="19" t="s">
        <v>9</v>
      </c>
      <c r="J12" s="19" t="s">
        <v>9</v>
      </c>
      <c r="K12" s="16" t="s">
        <v>111</v>
      </c>
      <c r="L12" s="16" t="s">
        <v>22</v>
      </c>
      <c r="M12" s="16" t="s">
        <v>22</v>
      </c>
      <c r="N12" s="43" t="s">
        <v>52</v>
      </c>
      <c r="O12" s="43" t="s">
        <v>52</v>
      </c>
      <c r="P12" s="43" t="s">
        <v>51</v>
      </c>
      <c r="Q12" s="16" t="s">
        <v>22</v>
      </c>
      <c r="R12" s="16" t="s">
        <v>22</v>
      </c>
      <c r="S12" s="16" t="s">
        <v>115</v>
      </c>
    </row>
    <row r="13" spans="1:19" x14ac:dyDescent="0.2">
      <c r="A13" s="7">
        <v>7</v>
      </c>
      <c r="B13" s="23" t="s">
        <v>38</v>
      </c>
      <c r="C13" s="23" t="s">
        <v>39</v>
      </c>
      <c r="D13" s="27" t="s">
        <v>38</v>
      </c>
      <c r="E13" s="19" t="s">
        <v>9</v>
      </c>
      <c r="F13" s="23" t="s">
        <v>33</v>
      </c>
      <c r="G13" s="19" t="s">
        <v>9</v>
      </c>
      <c r="H13" s="19" t="s">
        <v>9</v>
      </c>
      <c r="I13" s="19" t="s">
        <v>9</v>
      </c>
      <c r="J13" s="19" t="s">
        <v>9</v>
      </c>
      <c r="K13" s="16" t="s">
        <v>22</v>
      </c>
      <c r="L13" s="16" t="s">
        <v>112</v>
      </c>
      <c r="M13" s="16" t="s">
        <v>22</v>
      </c>
      <c r="N13" s="43" t="s">
        <v>53</v>
      </c>
      <c r="O13" s="43" t="s">
        <v>53</v>
      </c>
      <c r="P13" s="43" t="s">
        <v>54</v>
      </c>
      <c r="Q13" s="71" t="s">
        <v>116</v>
      </c>
      <c r="R13" s="71" t="s">
        <v>116</v>
      </c>
      <c r="S13" s="71" t="s">
        <v>117</v>
      </c>
    </row>
    <row r="14" spans="1:19" x14ac:dyDescent="0.2">
      <c r="A14" s="7">
        <v>8</v>
      </c>
      <c r="B14" s="19" t="s">
        <v>9</v>
      </c>
      <c r="C14" s="23" t="s">
        <v>35</v>
      </c>
      <c r="D14" s="19" t="s">
        <v>9</v>
      </c>
      <c r="E14" s="20" t="s">
        <v>20</v>
      </c>
      <c r="F14" s="20" t="s">
        <v>20</v>
      </c>
      <c r="G14" s="20" t="s">
        <v>20</v>
      </c>
      <c r="H14" s="19" t="s">
        <v>9</v>
      </c>
      <c r="I14" s="19" t="s">
        <v>9</v>
      </c>
      <c r="J14" s="19" t="s">
        <v>9</v>
      </c>
      <c r="K14" s="16" t="s">
        <v>22</v>
      </c>
      <c r="L14" s="16" t="s">
        <v>22</v>
      </c>
      <c r="M14" s="16" t="s">
        <v>22</v>
      </c>
      <c r="N14" s="42" t="s">
        <v>50</v>
      </c>
      <c r="O14" s="42" t="s">
        <v>50</v>
      </c>
      <c r="P14" s="42" t="s">
        <v>55</v>
      </c>
      <c r="Q14" s="16" t="s">
        <v>22</v>
      </c>
      <c r="R14" s="16" t="s">
        <v>22</v>
      </c>
      <c r="S14" s="16" t="s">
        <v>118</v>
      </c>
    </row>
    <row r="15" spans="1:19" x14ac:dyDescent="0.2">
      <c r="A15" s="7">
        <v>9</v>
      </c>
      <c r="B15" s="19" t="s">
        <v>9</v>
      </c>
      <c r="C15" s="23" t="s">
        <v>35</v>
      </c>
      <c r="D15" s="19" t="s">
        <v>9</v>
      </c>
      <c r="E15" s="19" t="s">
        <v>9</v>
      </c>
      <c r="F15" s="19" t="s">
        <v>9</v>
      </c>
      <c r="G15" s="19" t="s">
        <v>9</v>
      </c>
      <c r="H15" s="19" t="s">
        <v>9</v>
      </c>
      <c r="I15" s="19" t="s">
        <v>9</v>
      </c>
      <c r="J15" s="19" t="s">
        <v>9</v>
      </c>
      <c r="K15" s="16" t="s">
        <v>22</v>
      </c>
      <c r="L15" s="16" t="s">
        <v>22</v>
      </c>
      <c r="M15" s="16" t="s">
        <v>113</v>
      </c>
      <c r="N15" s="19" t="s">
        <v>9</v>
      </c>
      <c r="O15" s="19" t="s">
        <v>9</v>
      </c>
      <c r="P15" s="19" t="s">
        <v>9</v>
      </c>
      <c r="Q15" s="16" t="s">
        <v>22</v>
      </c>
      <c r="R15" s="16" t="s">
        <v>22</v>
      </c>
      <c r="S15" s="16" t="s">
        <v>118</v>
      </c>
    </row>
    <row r="16" spans="1:19" x14ac:dyDescent="0.2">
      <c r="A16" s="7">
        <v>10</v>
      </c>
      <c r="B16" s="13"/>
      <c r="C16" s="8"/>
      <c r="D16" s="9"/>
      <c r="E16" s="19" t="s">
        <v>9</v>
      </c>
      <c r="F16" s="19" t="s">
        <v>9</v>
      </c>
      <c r="G16" s="19" t="s">
        <v>9</v>
      </c>
      <c r="H16" s="19" t="s">
        <v>9</v>
      </c>
      <c r="I16" s="19" t="s">
        <v>9</v>
      </c>
      <c r="J16" s="19" t="s">
        <v>9</v>
      </c>
      <c r="K16" s="16" t="s">
        <v>22</v>
      </c>
      <c r="L16" s="16" t="s">
        <v>22</v>
      </c>
      <c r="M16" s="16" t="s">
        <v>113</v>
      </c>
      <c r="N16" s="19" t="s">
        <v>9</v>
      </c>
      <c r="O16" s="19" t="s">
        <v>9</v>
      </c>
      <c r="P16" s="19" t="s">
        <v>9</v>
      </c>
      <c r="Q16" s="16" t="s">
        <v>102</v>
      </c>
      <c r="R16" s="16" t="s">
        <v>102</v>
      </c>
      <c r="S16" s="16" t="s">
        <v>115</v>
      </c>
    </row>
    <row r="19" spans="1:19" x14ac:dyDescent="0.2">
      <c r="A19" s="28" t="s">
        <v>41</v>
      </c>
      <c r="B19" s="28">
        <v>8</v>
      </c>
      <c r="C19" s="28">
        <v>1</v>
      </c>
      <c r="D19" s="28">
        <v>8</v>
      </c>
      <c r="E19" s="28">
        <v>5</v>
      </c>
      <c r="F19" s="28">
        <v>2</v>
      </c>
      <c r="G19" s="28">
        <v>4</v>
      </c>
      <c r="H19" s="28">
        <v>9</v>
      </c>
      <c r="I19" s="28">
        <v>9</v>
      </c>
      <c r="J19" s="28">
        <v>8</v>
      </c>
      <c r="K19" s="28">
        <v>0</v>
      </c>
      <c r="L19" s="28">
        <v>0</v>
      </c>
      <c r="M19" s="28">
        <v>0</v>
      </c>
      <c r="N19" s="28">
        <v>5</v>
      </c>
      <c r="O19" s="28">
        <v>4</v>
      </c>
      <c r="P19" s="28">
        <v>6</v>
      </c>
      <c r="Q19" s="28">
        <v>0</v>
      </c>
      <c r="R19" s="28">
        <v>0</v>
      </c>
      <c r="S19" s="28">
        <v>0</v>
      </c>
    </row>
    <row r="20" spans="1:19" x14ac:dyDescent="0.2">
      <c r="A20" s="29" t="s">
        <v>42</v>
      </c>
      <c r="B20" s="29">
        <v>0</v>
      </c>
      <c r="C20" s="29">
        <v>1</v>
      </c>
      <c r="D20" s="29">
        <v>0</v>
      </c>
      <c r="E20" s="29">
        <v>5</v>
      </c>
      <c r="F20" s="29">
        <v>4</v>
      </c>
      <c r="G20" s="29">
        <v>6</v>
      </c>
      <c r="H20" s="29">
        <v>1</v>
      </c>
      <c r="I20" s="29">
        <v>1</v>
      </c>
      <c r="J20" s="29">
        <v>2</v>
      </c>
      <c r="K20" s="29">
        <v>10</v>
      </c>
      <c r="L20" s="29">
        <v>10</v>
      </c>
      <c r="M20" s="29">
        <v>10</v>
      </c>
      <c r="N20" s="29">
        <v>3</v>
      </c>
      <c r="O20" s="29">
        <v>4</v>
      </c>
      <c r="P20" s="29">
        <v>2</v>
      </c>
      <c r="Q20" s="29">
        <v>9</v>
      </c>
      <c r="R20" s="29">
        <v>9</v>
      </c>
      <c r="S20" s="29">
        <v>9</v>
      </c>
    </row>
    <row r="21" spans="1:19" x14ac:dyDescent="0.2">
      <c r="A21" s="30" t="s">
        <v>43</v>
      </c>
      <c r="B21" s="30">
        <v>2</v>
      </c>
      <c r="C21" s="30">
        <v>8</v>
      </c>
      <c r="D21" s="30">
        <v>2</v>
      </c>
      <c r="E21" s="30">
        <v>0</v>
      </c>
      <c r="F21" s="30">
        <v>4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2</v>
      </c>
      <c r="O21" s="30">
        <v>2</v>
      </c>
      <c r="P21" s="30">
        <v>2</v>
      </c>
      <c r="Q21" s="30">
        <v>1</v>
      </c>
      <c r="R21" s="30">
        <v>1</v>
      </c>
      <c r="S21" s="30">
        <v>1</v>
      </c>
    </row>
    <row r="22" spans="1:19" x14ac:dyDescent="0.2">
      <c r="A22" s="31" t="s">
        <v>44</v>
      </c>
      <c r="B22" s="32">
        <f t="shared" ref="B22:K22" si="0">SUM(B19:B21)</f>
        <v>10</v>
      </c>
      <c r="C22" s="32">
        <f t="shared" si="0"/>
        <v>10</v>
      </c>
      <c r="D22" s="32">
        <f t="shared" si="0"/>
        <v>10</v>
      </c>
      <c r="E22" s="32">
        <f t="shared" si="0"/>
        <v>10</v>
      </c>
      <c r="F22" s="32">
        <f t="shared" si="0"/>
        <v>10</v>
      </c>
      <c r="G22" s="32">
        <f t="shared" si="0"/>
        <v>10</v>
      </c>
      <c r="H22" s="32">
        <f t="shared" si="0"/>
        <v>10</v>
      </c>
      <c r="I22" s="32">
        <f t="shared" si="0"/>
        <v>10</v>
      </c>
      <c r="J22" s="32">
        <f t="shared" si="0"/>
        <v>10</v>
      </c>
      <c r="K22" s="32">
        <f t="shared" si="0"/>
        <v>10</v>
      </c>
      <c r="L22" s="32">
        <f t="shared" ref="L22:M22" si="1">SUM(L19:L21)</f>
        <v>10</v>
      </c>
      <c r="M22" s="32">
        <f t="shared" si="1"/>
        <v>10</v>
      </c>
      <c r="N22" s="32">
        <f>SUM(N19:N21)</f>
        <v>10</v>
      </c>
      <c r="O22" s="32">
        <f t="shared" ref="O22:S22" si="2">SUM(O19:O21)</f>
        <v>10</v>
      </c>
      <c r="P22" s="32">
        <f t="shared" si="2"/>
        <v>10</v>
      </c>
      <c r="Q22" s="32">
        <f t="shared" si="2"/>
        <v>10</v>
      </c>
      <c r="R22" s="32">
        <f t="shared" si="2"/>
        <v>10</v>
      </c>
      <c r="S22" s="32">
        <f t="shared" si="2"/>
        <v>10</v>
      </c>
    </row>
    <row r="23" spans="1:19" x14ac:dyDescent="0.2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</row>
    <row r="24" spans="1:19" x14ac:dyDescent="0.2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s="36" customFormat="1" x14ac:dyDescent="0.2">
      <c r="A25" s="34" t="s">
        <v>45</v>
      </c>
      <c r="B25" s="83">
        <f>SUM(B19,C19,D19)/SUM(B22:D22)</f>
        <v>0.56666666666666665</v>
      </c>
      <c r="C25" s="83"/>
      <c r="D25" s="83"/>
      <c r="E25" s="83">
        <f>SUM(E19,F19,G19)/SUM(E22:G22)</f>
        <v>0.36666666666666664</v>
      </c>
      <c r="F25" s="83"/>
      <c r="G25" s="83"/>
      <c r="H25" s="83">
        <f>SUM(H19,I19,J19)/SUM(H22:J22)</f>
        <v>0.8666666666666667</v>
      </c>
      <c r="I25" s="83"/>
      <c r="J25" s="83"/>
      <c r="K25" s="83">
        <f>SUM(K19,L19,M19)/SUM(K22:M22)</f>
        <v>0</v>
      </c>
      <c r="L25" s="83"/>
      <c r="M25" s="83"/>
      <c r="N25" s="83">
        <f>SUM(N19,O19,P19)/SUM(N22:P22)</f>
        <v>0.5</v>
      </c>
      <c r="O25" s="83"/>
      <c r="P25" s="83"/>
      <c r="Q25" s="83">
        <f>SUM(Q19,R19,S19)/SUM(Q22:S22)</f>
        <v>0</v>
      </c>
      <c r="R25" s="83"/>
      <c r="S25" s="84"/>
    </row>
    <row r="26" spans="1:19" s="4" customFormat="1" x14ac:dyDescent="0.2">
      <c r="A26" s="35" t="s">
        <v>46</v>
      </c>
      <c r="B26" s="85">
        <f>SUM(B19:D20)/SUM(B22:D22)</f>
        <v>0.6</v>
      </c>
      <c r="C26" s="85"/>
      <c r="D26" s="85"/>
      <c r="E26" s="85">
        <f>SUM(E19:G20)/SUM(E22:G22)</f>
        <v>0.8666666666666667</v>
      </c>
      <c r="F26" s="85"/>
      <c r="G26" s="85"/>
      <c r="H26" s="85">
        <f>SUM(H19:J20)/SUM(H22:J22)</f>
        <v>1</v>
      </c>
      <c r="I26" s="85"/>
      <c r="J26" s="85"/>
      <c r="K26" s="85">
        <f>SUM(K19:M20)/SUM(K22:M22)</f>
        <v>1</v>
      </c>
      <c r="L26" s="85"/>
      <c r="M26" s="85"/>
      <c r="N26" s="85">
        <f>SUM(N19:P20)/SUM(N22:P22)</f>
        <v>0.8</v>
      </c>
      <c r="O26" s="85"/>
      <c r="P26" s="85"/>
      <c r="Q26" s="85">
        <f>SUM(Q19:S20)/SUM(Q22:S22)</f>
        <v>0.9</v>
      </c>
      <c r="R26" s="85"/>
      <c r="S26" s="86"/>
    </row>
    <row r="30" spans="1:19" x14ac:dyDescent="0.2">
      <c r="C30" s="57" t="s">
        <v>119</v>
      </c>
    </row>
  </sheetData>
  <mergeCells count="23">
    <mergeCell ref="A1:S1"/>
    <mergeCell ref="B2:G2"/>
    <mergeCell ref="H2:M2"/>
    <mergeCell ref="N2:S2"/>
    <mergeCell ref="B3:D3"/>
    <mergeCell ref="A2:A4"/>
    <mergeCell ref="E3:G3"/>
    <mergeCell ref="H3:J3"/>
    <mergeCell ref="K3:M3"/>
    <mergeCell ref="N3:P3"/>
    <mergeCell ref="Q3:S3"/>
    <mergeCell ref="Q25:S25"/>
    <mergeCell ref="B26:D26"/>
    <mergeCell ref="E26:G26"/>
    <mergeCell ref="H26:J26"/>
    <mergeCell ref="K26:M26"/>
    <mergeCell ref="N26:P26"/>
    <mergeCell ref="Q26:S26"/>
    <mergeCell ref="B25:D25"/>
    <mergeCell ref="E25:G25"/>
    <mergeCell ref="H25:J25"/>
    <mergeCell ref="K25:M25"/>
    <mergeCell ref="N25:P2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1128-7D73-F146-8690-215F2D3591A8}">
  <dimension ref="A1:S26"/>
  <sheetViews>
    <sheetView tabSelected="1" zoomScale="131" zoomScaleNormal="180" workbookViewId="0">
      <selection activeCell="X36" sqref="X36"/>
    </sheetView>
  </sheetViews>
  <sheetFormatPr baseColWidth="10" defaultRowHeight="16" x14ac:dyDescent="0.2"/>
  <sheetData>
    <row r="1" spans="1:19" x14ac:dyDescent="0.2">
      <c r="A1" s="87" t="s">
        <v>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8"/>
    </row>
    <row r="2" spans="1:19" x14ac:dyDescent="0.2">
      <c r="A2" s="93" t="s">
        <v>0</v>
      </c>
      <c r="B2" s="89" t="s">
        <v>28</v>
      </c>
      <c r="C2" s="89"/>
      <c r="D2" s="89"/>
      <c r="E2" s="89"/>
      <c r="F2" s="89"/>
      <c r="G2" s="90"/>
      <c r="H2" s="90" t="s">
        <v>3</v>
      </c>
      <c r="I2" s="91"/>
      <c r="J2" s="91"/>
      <c r="K2" s="91"/>
      <c r="L2" s="91"/>
      <c r="M2" s="92"/>
      <c r="N2" s="90" t="s">
        <v>4</v>
      </c>
      <c r="O2" s="91"/>
      <c r="P2" s="91"/>
      <c r="Q2" s="91"/>
      <c r="R2" s="91"/>
      <c r="S2" s="92"/>
    </row>
    <row r="3" spans="1:19" x14ac:dyDescent="0.2">
      <c r="A3" s="94"/>
      <c r="B3" s="89" t="s">
        <v>1</v>
      </c>
      <c r="C3" s="89"/>
      <c r="D3" s="89"/>
      <c r="E3" s="89" t="s">
        <v>2</v>
      </c>
      <c r="F3" s="89"/>
      <c r="G3" s="90"/>
      <c r="H3" s="90" t="s">
        <v>1</v>
      </c>
      <c r="I3" s="91"/>
      <c r="J3" s="92"/>
      <c r="K3" s="90" t="s">
        <v>2</v>
      </c>
      <c r="L3" s="91"/>
      <c r="M3" s="92"/>
      <c r="N3" s="90" t="s">
        <v>1</v>
      </c>
      <c r="O3" s="91"/>
      <c r="P3" s="92"/>
      <c r="Q3" s="90" t="s">
        <v>2</v>
      </c>
      <c r="R3" s="91"/>
      <c r="S3" s="92"/>
    </row>
    <row r="4" spans="1:19" x14ac:dyDescent="0.2">
      <c r="A4" s="94"/>
      <c r="B4" s="12" t="s">
        <v>76</v>
      </c>
      <c r="C4" s="12" t="s">
        <v>77</v>
      </c>
      <c r="D4" s="12" t="s">
        <v>78</v>
      </c>
      <c r="E4" s="12" t="s">
        <v>76</v>
      </c>
      <c r="F4" s="12" t="s">
        <v>77</v>
      </c>
      <c r="G4" s="12" t="s">
        <v>78</v>
      </c>
      <c r="H4" s="12" t="s">
        <v>76</v>
      </c>
      <c r="I4" s="12" t="s">
        <v>77</v>
      </c>
      <c r="J4" s="12" t="s">
        <v>78</v>
      </c>
      <c r="K4" s="12" t="s">
        <v>76</v>
      </c>
      <c r="L4" s="12" t="s">
        <v>77</v>
      </c>
      <c r="M4" s="12" t="s">
        <v>78</v>
      </c>
      <c r="N4" s="12" t="s">
        <v>76</v>
      </c>
      <c r="O4" s="12" t="s">
        <v>77</v>
      </c>
      <c r="P4" s="12" t="s">
        <v>78</v>
      </c>
      <c r="Q4" s="12" t="s">
        <v>76</v>
      </c>
      <c r="R4" s="12" t="s">
        <v>77</v>
      </c>
      <c r="S4" s="12" t="s">
        <v>78</v>
      </c>
    </row>
    <row r="5" spans="1:19" x14ac:dyDescent="0.2">
      <c r="A5" s="7">
        <v>0</v>
      </c>
      <c r="B5" s="14" t="s">
        <v>9</v>
      </c>
      <c r="C5" s="14" t="s">
        <v>9</v>
      </c>
      <c r="D5" s="14" t="s">
        <v>9</v>
      </c>
      <c r="E5" s="70" t="s">
        <v>143</v>
      </c>
      <c r="F5" s="17" t="s">
        <v>29</v>
      </c>
      <c r="G5" s="70" t="s">
        <v>129</v>
      </c>
      <c r="H5" s="14" t="s">
        <v>17</v>
      </c>
      <c r="I5" s="14" t="s">
        <v>18</v>
      </c>
      <c r="J5" s="14" t="s">
        <v>9</v>
      </c>
      <c r="K5" s="17" t="s">
        <v>13</v>
      </c>
      <c r="L5" s="17" t="s">
        <v>13</v>
      </c>
      <c r="M5" s="17" t="s">
        <v>13</v>
      </c>
      <c r="N5" s="18" t="s">
        <v>15</v>
      </c>
      <c r="O5" s="18" t="s">
        <v>15</v>
      </c>
      <c r="P5" s="18" t="s">
        <v>16</v>
      </c>
      <c r="Q5" s="17" t="s">
        <v>14</v>
      </c>
      <c r="R5" s="15" t="s">
        <v>9</v>
      </c>
      <c r="S5" s="70" t="s">
        <v>12</v>
      </c>
    </row>
    <row r="6" spans="1:19" x14ac:dyDescent="0.2">
      <c r="A6" s="7"/>
      <c r="B6" s="61"/>
      <c r="C6" s="62"/>
      <c r="D6" s="62"/>
      <c r="E6" s="59"/>
      <c r="F6" s="39"/>
      <c r="G6" s="59"/>
      <c r="H6" s="63"/>
      <c r="I6" s="62"/>
      <c r="J6" s="62"/>
      <c r="K6" s="39"/>
      <c r="L6" s="39"/>
      <c r="M6" s="40"/>
      <c r="N6" s="64"/>
      <c r="O6" s="65"/>
      <c r="P6" s="65"/>
      <c r="Q6" s="40"/>
      <c r="R6" s="59"/>
      <c r="S6" s="66"/>
    </row>
    <row r="7" spans="1:19" x14ac:dyDescent="0.2">
      <c r="A7" s="7">
        <v>1</v>
      </c>
      <c r="B7" s="17" t="s">
        <v>29</v>
      </c>
      <c r="C7" s="17" t="s">
        <v>29</v>
      </c>
      <c r="D7" s="17" t="s">
        <v>29</v>
      </c>
      <c r="E7" s="17" t="s">
        <v>139</v>
      </c>
      <c r="F7" s="17" t="s">
        <v>140</v>
      </c>
      <c r="G7" s="70" t="s">
        <v>129</v>
      </c>
      <c r="H7" s="14" t="s">
        <v>9</v>
      </c>
      <c r="I7" s="70" t="s">
        <v>83</v>
      </c>
      <c r="J7" s="14" t="s">
        <v>9</v>
      </c>
      <c r="K7" s="17" t="s">
        <v>137</v>
      </c>
      <c r="L7" s="17" t="s">
        <v>137</v>
      </c>
      <c r="M7" s="15" t="s">
        <v>9</v>
      </c>
      <c r="N7" s="70" t="s">
        <v>91</v>
      </c>
      <c r="O7" s="15" t="s">
        <v>9</v>
      </c>
      <c r="P7" s="15" t="s">
        <v>9</v>
      </c>
      <c r="Q7" s="17" t="s">
        <v>161</v>
      </c>
      <c r="R7" s="15" t="s">
        <v>9</v>
      </c>
      <c r="S7" s="15" t="s">
        <v>9</v>
      </c>
    </row>
    <row r="8" spans="1:19" x14ac:dyDescent="0.2">
      <c r="A8" s="7">
        <v>2</v>
      </c>
      <c r="B8" s="14" t="s">
        <v>9</v>
      </c>
      <c r="C8" s="14" t="s">
        <v>9</v>
      </c>
      <c r="D8" s="14" t="s">
        <v>9</v>
      </c>
      <c r="E8" s="17" t="s">
        <v>141</v>
      </c>
      <c r="F8" s="70" t="s">
        <v>142</v>
      </c>
      <c r="G8" s="70" t="s">
        <v>129</v>
      </c>
      <c r="H8" s="14" t="s">
        <v>9</v>
      </c>
      <c r="I8" s="15" t="s">
        <v>9</v>
      </c>
      <c r="J8" s="15" t="s">
        <v>9</v>
      </c>
      <c r="K8" s="17" t="s">
        <v>147</v>
      </c>
      <c r="L8" s="70" t="s">
        <v>148</v>
      </c>
      <c r="M8" s="70" t="s">
        <v>129</v>
      </c>
      <c r="N8" s="72" t="s">
        <v>93</v>
      </c>
      <c r="O8" s="15" t="s">
        <v>9</v>
      </c>
      <c r="P8" s="15" t="s">
        <v>9</v>
      </c>
      <c r="Q8" s="70" t="s">
        <v>162</v>
      </c>
      <c r="R8" s="15" t="s">
        <v>9</v>
      </c>
      <c r="S8" s="70" t="s">
        <v>12</v>
      </c>
    </row>
    <row r="9" spans="1:19" x14ac:dyDescent="0.2">
      <c r="A9" s="7">
        <v>3</v>
      </c>
      <c r="B9" s="70" t="s">
        <v>22</v>
      </c>
      <c r="C9" s="14" t="s">
        <v>9</v>
      </c>
      <c r="D9" s="14" t="s">
        <v>9</v>
      </c>
      <c r="E9" s="15" t="s">
        <v>9</v>
      </c>
      <c r="F9" s="17" t="s">
        <v>140</v>
      </c>
      <c r="G9" s="70" t="s">
        <v>129</v>
      </c>
      <c r="H9" s="14" t="s">
        <v>9</v>
      </c>
      <c r="I9" s="15" t="s">
        <v>9</v>
      </c>
      <c r="J9" s="15" t="s">
        <v>9</v>
      </c>
      <c r="K9" s="17" t="s">
        <v>149</v>
      </c>
      <c r="L9" s="17" t="s">
        <v>150</v>
      </c>
      <c r="M9" s="17" t="s">
        <v>13</v>
      </c>
      <c r="N9" s="15" t="s">
        <v>9</v>
      </c>
      <c r="O9" s="15" t="s">
        <v>9</v>
      </c>
      <c r="P9" s="15" t="s">
        <v>9</v>
      </c>
      <c r="Q9" s="70" t="s">
        <v>163</v>
      </c>
      <c r="R9" s="70" t="s">
        <v>138</v>
      </c>
      <c r="S9" s="70" t="s">
        <v>12</v>
      </c>
    </row>
    <row r="10" spans="1:19" x14ac:dyDescent="0.2">
      <c r="A10" s="7">
        <v>4</v>
      </c>
      <c r="B10" s="70" t="s">
        <v>79</v>
      </c>
      <c r="C10" s="14" t="s">
        <v>9</v>
      </c>
      <c r="D10" s="14" t="s">
        <v>9</v>
      </c>
      <c r="E10" s="17" t="s">
        <v>141</v>
      </c>
      <c r="F10" s="17" t="s">
        <v>140</v>
      </c>
      <c r="G10" s="70" t="s">
        <v>129</v>
      </c>
      <c r="H10" s="17" t="s">
        <v>85</v>
      </c>
      <c r="I10" s="17" t="s">
        <v>85</v>
      </c>
      <c r="J10" s="15" t="s">
        <v>9</v>
      </c>
      <c r="K10" s="17" t="s">
        <v>151</v>
      </c>
      <c r="L10" s="17" t="s">
        <v>152</v>
      </c>
      <c r="M10" s="70" t="s">
        <v>153</v>
      </c>
      <c r="N10" s="70" t="s">
        <v>94</v>
      </c>
      <c r="O10" s="15" t="s">
        <v>9</v>
      </c>
      <c r="P10" s="15" t="s">
        <v>9</v>
      </c>
      <c r="Q10" s="70" t="s">
        <v>164</v>
      </c>
      <c r="R10" s="15" t="s">
        <v>9</v>
      </c>
      <c r="S10" s="70" t="s">
        <v>165</v>
      </c>
    </row>
    <row r="11" spans="1:19" x14ac:dyDescent="0.2">
      <c r="A11" s="7">
        <v>5</v>
      </c>
      <c r="B11" s="70" t="s">
        <v>80</v>
      </c>
      <c r="C11" s="17" t="s">
        <v>29</v>
      </c>
      <c r="D11" s="14" t="s">
        <v>9</v>
      </c>
      <c r="E11" s="70" t="s">
        <v>143</v>
      </c>
      <c r="F11" s="70" t="s">
        <v>142</v>
      </c>
      <c r="G11" s="70" t="s">
        <v>142</v>
      </c>
      <c r="H11" s="14" t="s">
        <v>9</v>
      </c>
      <c r="I11" s="14" t="s">
        <v>18</v>
      </c>
      <c r="J11" s="15" t="s">
        <v>9</v>
      </c>
      <c r="K11" s="17" t="s">
        <v>154</v>
      </c>
      <c r="L11" s="17" t="s">
        <v>155</v>
      </c>
      <c r="M11" s="70" t="s">
        <v>153</v>
      </c>
      <c r="N11" s="72" t="s">
        <v>95</v>
      </c>
      <c r="O11" s="72" t="s">
        <v>96</v>
      </c>
      <c r="P11" s="72" t="s">
        <v>36</v>
      </c>
      <c r="Q11" s="72" t="s">
        <v>166</v>
      </c>
      <c r="R11" s="72" t="s">
        <v>167</v>
      </c>
      <c r="S11" s="72" t="s">
        <v>168</v>
      </c>
    </row>
    <row r="12" spans="1:19" x14ac:dyDescent="0.2">
      <c r="A12" s="7">
        <v>6</v>
      </c>
      <c r="B12" s="70" t="s">
        <v>79</v>
      </c>
      <c r="C12" s="14" t="s">
        <v>9</v>
      </c>
      <c r="D12" s="14" t="s">
        <v>9</v>
      </c>
      <c r="E12" s="17" t="s">
        <v>144</v>
      </c>
      <c r="F12" s="17" t="s">
        <v>144</v>
      </c>
      <c r="G12" s="17" t="s">
        <v>144</v>
      </c>
      <c r="H12" s="14" t="s">
        <v>9</v>
      </c>
      <c r="I12" s="70" t="s">
        <v>86</v>
      </c>
      <c r="J12" s="15" t="s">
        <v>9</v>
      </c>
      <c r="K12" s="17" t="s">
        <v>156</v>
      </c>
      <c r="L12" s="17" t="s">
        <v>152</v>
      </c>
      <c r="M12" s="15" t="s">
        <v>9</v>
      </c>
      <c r="N12" s="70" t="s">
        <v>97</v>
      </c>
      <c r="O12" s="15" t="s">
        <v>9</v>
      </c>
      <c r="P12" s="15" t="s">
        <v>9</v>
      </c>
      <c r="Q12" s="72" t="s">
        <v>117</v>
      </c>
      <c r="R12" s="72" t="s">
        <v>167</v>
      </c>
      <c r="S12" s="72" t="s">
        <v>169</v>
      </c>
    </row>
    <row r="13" spans="1:19" x14ac:dyDescent="0.2">
      <c r="A13" s="7">
        <v>7</v>
      </c>
      <c r="B13" s="14" t="s">
        <v>9</v>
      </c>
      <c r="C13" s="14" t="s">
        <v>9</v>
      </c>
      <c r="D13" s="14" t="s">
        <v>9</v>
      </c>
      <c r="E13" s="17" t="s">
        <v>141</v>
      </c>
      <c r="F13" s="70" t="s">
        <v>136</v>
      </c>
      <c r="G13" s="70" t="s">
        <v>145</v>
      </c>
      <c r="H13" s="14" t="s">
        <v>9</v>
      </c>
      <c r="I13" s="70" t="s">
        <v>87</v>
      </c>
      <c r="J13" s="15" t="s">
        <v>9</v>
      </c>
      <c r="K13" s="17" t="s">
        <v>149</v>
      </c>
      <c r="L13" s="70" t="s">
        <v>157</v>
      </c>
      <c r="M13" s="17" t="s">
        <v>158</v>
      </c>
      <c r="N13" s="70" t="s">
        <v>20</v>
      </c>
      <c r="O13" s="72" t="s">
        <v>98</v>
      </c>
      <c r="P13" s="15" t="s">
        <v>9</v>
      </c>
      <c r="Q13" s="72" t="s">
        <v>170</v>
      </c>
      <c r="R13" s="72" t="s">
        <v>36</v>
      </c>
      <c r="S13" s="72" t="s">
        <v>36</v>
      </c>
    </row>
    <row r="14" spans="1:19" x14ac:dyDescent="0.2">
      <c r="A14" s="7">
        <v>8</v>
      </c>
      <c r="B14" s="17" t="s">
        <v>29</v>
      </c>
      <c r="C14" s="17" t="s">
        <v>29</v>
      </c>
      <c r="D14" s="17" t="s">
        <v>29</v>
      </c>
      <c r="E14" s="15" t="s">
        <v>9</v>
      </c>
      <c r="F14" s="17" t="s">
        <v>29</v>
      </c>
      <c r="G14" s="70" t="s">
        <v>146</v>
      </c>
      <c r="H14" s="17" t="s">
        <v>88</v>
      </c>
      <c r="I14" s="17" t="s">
        <v>85</v>
      </c>
      <c r="J14" s="15" t="s">
        <v>9</v>
      </c>
      <c r="K14" s="17" t="s">
        <v>147</v>
      </c>
      <c r="L14" s="17" t="s">
        <v>152</v>
      </c>
      <c r="M14" s="70" t="s">
        <v>129</v>
      </c>
      <c r="N14" s="72" t="s">
        <v>99</v>
      </c>
      <c r="O14" s="15" t="s">
        <v>9</v>
      </c>
      <c r="P14" s="15" t="s">
        <v>9</v>
      </c>
      <c r="Q14" s="70" t="s">
        <v>12</v>
      </c>
      <c r="R14" s="15" t="s">
        <v>9</v>
      </c>
      <c r="S14" s="70" t="s">
        <v>12</v>
      </c>
    </row>
    <row r="15" spans="1:19" x14ac:dyDescent="0.2">
      <c r="A15" s="7">
        <v>9</v>
      </c>
      <c r="B15" s="14" t="s">
        <v>9</v>
      </c>
      <c r="C15" s="17" t="s">
        <v>82</v>
      </c>
      <c r="D15" s="14" t="s">
        <v>9</v>
      </c>
      <c r="E15" s="17" t="s">
        <v>141</v>
      </c>
      <c r="F15" s="70" t="s">
        <v>142</v>
      </c>
      <c r="G15" s="70" t="s">
        <v>129</v>
      </c>
      <c r="H15" s="70" t="s">
        <v>90</v>
      </c>
      <c r="I15" s="17" t="s">
        <v>89</v>
      </c>
      <c r="J15" s="15" t="s">
        <v>9</v>
      </c>
      <c r="K15" s="17" t="s">
        <v>13</v>
      </c>
      <c r="L15" s="17" t="s">
        <v>13</v>
      </c>
      <c r="M15" s="17" t="s">
        <v>13</v>
      </c>
      <c r="N15" s="15" t="s">
        <v>9</v>
      </c>
      <c r="O15" s="72" t="s">
        <v>98</v>
      </c>
      <c r="P15" s="15" t="s">
        <v>9</v>
      </c>
      <c r="Q15" s="70" t="s">
        <v>153</v>
      </c>
      <c r="R15" s="15" t="s">
        <v>9</v>
      </c>
      <c r="S15" s="70" t="s">
        <v>12</v>
      </c>
    </row>
    <row r="16" spans="1:19" x14ac:dyDescent="0.2">
      <c r="A16" s="7">
        <v>10</v>
      </c>
      <c r="B16" s="13"/>
      <c r="C16" s="8"/>
      <c r="D16" s="9"/>
      <c r="E16" s="15" t="s">
        <v>9</v>
      </c>
      <c r="F16" s="70" t="s">
        <v>136</v>
      </c>
      <c r="G16" s="70" t="s">
        <v>129</v>
      </c>
      <c r="H16" s="14" t="s">
        <v>17</v>
      </c>
      <c r="I16" s="14" t="s">
        <v>18</v>
      </c>
      <c r="J16" s="15" t="s">
        <v>9</v>
      </c>
      <c r="K16" s="15" t="s">
        <v>159</v>
      </c>
      <c r="L16" s="17" t="s">
        <v>160</v>
      </c>
      <c r="M16" s="70" t="s">
        <v>129</v>
      </c>
      <c r="N16" s="15" t="s">
        <v>9</v>
      </c>
      <c r="O16" s="15" t="s">
        <v>9</v>
      </c>
      <c r="P16" s="70" t="s">
        <v>100</v>
      </c>
      <c r="Q16" s="70" t="s">
        <v>91</v>
      </c>
      <c r="R16" s="15" t="s">
        <v>9</v>
      </c>
      <c r="S16" s="70" t="s">
        <v>12</v>
      </c>
    </row>
    <row r="17" spans="1:19" x14ac:dyDescent="0.2">
      <c r="B17" s="57" t="s">
        <v>81</v>
      </c>
    </row>
    <row r="19" spans="1:19" x14ac:dyDescent="0.2">
      <c r="A19" s="28" t="s">
        <v>41</v>
      </c>
      <c r="B19" s="28">
        <v>3</v>
      </c>
      <c r="C19" s="28">
        <v>5</v>
      </c>
      <c r="D19" s="28">
        <v>7</v>
      </c>
      <c r="E19" s="28">
        <v>3</v>
      </c>
      <c r="F19" s="28">
        <v>0</v>
      </c>
      <c r="G19" s="28">
        <v>0</v>
      </c>
      <c r="H19" s="28">
        <v>7</v>
      </c>
      <c r="I19" s="28">
        <v>4</v>
      </c>
      <c r="J19" s="28">
        <v>10</v>
      </c>
      <c r="K19" s="28">
        <v>1</v>
      </c>
      <c r="L19" s="28">
        <v>0</v>
      </c>
      <c r="M19" s="28">
        <v>2</v>
      </c>
      <c r="N19" s="28">
        <v>3</v>
      </c>
      <c r="O19" s="28">
        <v>7</v>
      </c>
      <c r="P19" s="28">
        <v>8</v>
      </c>
      <c r="Q19" s="28">
        <v>0</v>
      </c>
      <c r="R19" s="28">
        <v>6</v>
      </c>
      <c r="S19" s="28">
        <v>1</v>
      </c>
    </row>
    <row r="20" spans="1:19" x14ac:dyDescent="0.2">
      <c r="A20" s="29" t="s">
        <v>42</v>
      </c>
      <c r="B20" s="29">
        <v>4</v>
      </c>
      <c r="C20" s="29">
        <v>0</v>
      </c>
      <c r="D20" s="29">
        <v>0</v>
      </c>
      <c r="E20" s="29">
        <v>1</v>
      </c>
      <c r="F20" s="29">
        <v>5</v>
      </c>
      <c r="G20" s="29">
        <v>9</v>
      </c>
      <c r="H20" s="29">
        <v>1</v>
      </c>
      <c r="I20" s="29">
        <v>3</v>
      </c>
      <c r="J20" s="29">
        <v>0</v>
      </c>
      <c r="K20" s="29">
        <v>0</v>
      </c>
      <c r="L20" s="29">
        <v>2</v>
      </c>
      <c r="M20" s="29">
        <v>5</v>
      </c>
      <c r="N20" s="29">
        <v>4</v>
      </c>
      <c r="O20" s="29">
        <v>0</v>
      </c>
      <c r="P20" s="29">
        <v>1</v>
      </c>
      <c r="Q20" s="29">
        <v>6</v>
      </c>
      <c r="R20" s="29">
        <v>1</v>
      </c>
      <c r="S20" s="29">
        <v>6</v>
      </c>
    </row>
    <row r="21" spans="1:19" x14ac:dyDescent="0.2">
      <c r="A21" s="30" t="s">
        <v>43</v>
      </c>
      <c r="B21" s="30">
        <v>2</v>
      </c>
      <c r="C21" s="30">
        <v>4</v>
      </c>
      <c r="D21" s="30">
        <v>2</v>
      </c>
      <c r="E21" s="30">
        <v>6</v>
      </c>
      <c r="F21" s="30">
        <v>5</v>
      </c>
      <c r="G21" s="30">
        <v>1</v>
      </c>
      <c r="H21" s="30">
        <v>2</v>
      </c>
      <c r="I21" s="30">
        <v>3</v>
      </c>
      <c r="J21" s="30">
        <v>0</v>
      </c>
      <c r="K21" s="30">
        <v>9</v>
      </c>
      <c r="L21" s="30">
        <v>8</v>
      </c>
      <c r="M21" s="30">
        <v>3</v>
      </c>
      <c r="N21" s="30">
        <v>3</v>
      </c>
      <c r="O21" s="30">
        <v>3</v>
      </c>
      <c r="P21" s="30">
        <v>1</v>
      </c>
      <c r="Q21" s="30">
        <v>4</v>
      </c>
      <c r="R21" s="30">
        <v>3</v>
      </c>
      <c r="S21" s="30">
        <v>3</v>
      </c>
    </row>
    <row r="22" spans="1:19" x14ac:dyDescent="0.2">
      <c r="A22" s="31" t="s">
        <v>44</v>
      </c>
      <c r="B22" s="32">
        <f>SUM(B19:B21)</f>
        <v>9</v>
      </c>
      <c r="C22" s="32">
        <f>SUM(C19:C21)</f>
        <v>9</v>
      </c>
      <c r="D22" s="32">
        <f>SUM(D19:D21)</f>
        <v>9</v>
      </c>
      <c r="E22" s="32">
        <f t="shared" ref="E22:G22" si="0">SUM(E19:E21)</f>
        <v>10</v>
      </c>
      <c r="F22" s="32">
        <f t="shared" si="0"/>
        <v>10</v>
      </c>
      <c r="G22" s="32">
        <f t="shared" si="0"/>
        <v>10</v>
      </c>
      <c r="H22" s="32">
        <f>SUM(H19:H21)</f>
        <v>10</v>
      </c>
      <c r="I22" s="32">
        <f>SUM(I19:I21)</f>
        <v>10</v>
      </c>
      <c r="J22" s="32">
        <f>SUM(J19:J21)</f>
        <v>10</v>
      </c>
      <c r="K22" s="32">
        <f t="shared" ref="K22:M22" si="1">SUM(K19:K21)</f>
        <v>10</v>
      </c>
      <c r="L22" s="32">
        <f t="shared" si="1"/>
        <v>10</v>
      </c>
      <c r="M22" s="32">
        <f t="shared" si="1"/>
        <v>10</v>
      </c>
      <c r="N22" s="32">
        <f>SUM(N19:N21)</f>
        <v>10</v>
      </c>
      <c r="O22" s="32">
        <f t="shared" ref="O22:S22" si="2">SUM(O19:O21)</f>
        <v>10</v>
      </c>
      <c r="P22" s="32">
        <f t="shared" si="2"/>
        <v>10</v>
      </c>
      <c r="Q22" s="32">
        <f t="shared" si="2"/>
        <v>10</v>
      </c>
      <c r="R22" s="32">
        <f t="shared" si="2"/>
        <v>10</v>
      </c>
      <c r="S22" s="32">
        <f t="shared" si="2"/>
        <v>10</v>
      </c>
    </row>
    <row r="23" spans="1:19" x14ac:dyDescent="0.2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</row>
    <row r="24" spans="1:19" x14ac:dyDescent="0.2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s="36" customFormat="1" x14ac:dyDescent="0.2">
      <c r="A25" s="34" t="s">
        <v>45</v>
      </c>
      <c r="B25" s="83">
        <f>SUM(B19,C19,D19)/SUM(B22:D22)</f>
        <v>0.55555555555555558</v>
      </c>
      <c r="C25" s="83"/>
      <c r="D25" s="83"/>
      <c r="E25" s="83">
        <f>SUM(E19,F19,G19)/SUM(E22:G22)</f>
        <v>0.1</v>
      </c>
      <c r="F25" s="83"/>
      <c r="G25" s="83"/>
      <c r="H25" s="83">
        <f>SUM(H19,I19,J19)/SUM(H22:J22)</f>
        <v>0.7</v>
      </c>
      <c r="I25" s="83"/>
      <c r="J25" s="83"/>
      <c r="K25" s="83">
        <f>SUM(K19,L19,M19)/SUM(K22:M22)</f>
        <v>0.1</v>
      </c>
      <c r="L25" s="83"/>
      <c r="M25" s="83"/>
      <c r="N25" s="83">
        <f>SUM(N19,O19,P19)/SUM(N22:P22)</f>
        <v>0.6</v>
      </c>
      <c r="O25" s="83"/>
      <c r="P25" s="83"/>
      <c r="Q25" s="83">
        <f>SUM(Q19,R19,S19)/SUM(Q22:S22)</f>
        <v>0.23333333333333334</v>
      </c>
      <c r="R25" s="83"/>
      <c r="S25" s="84"/>
    </row>
    <row r="26" spans="1:19" s="4" customFormat="1" x14ac:dyDescent="0.2">
      <c r="A26" s="35" t="s">
        <v>46</v>
      </c>
      <c r="B26" s="85">
        <f>SUM(B19:D20)/SUM(B22:D22)</f>
        <v>0.70370370370370372</v>
      </c>
      <c r="C26" s="85"/>
      <c r="D26" s="85"/>
      <c r="E26" s="85">
        <f>SUM(E19:G20)/SUM(E22:G22)</f>
        <v>0.6</v>
      </c>
      <c r="F26" s="85"/>
      <c r="G26" s="85"/>
      <c r="H26" s="85">
        <f>SUM(H19:J20)/SUM(H22:J22)</f>
        <v>0.83333333333333337</v>
      </c>
      <c r="I26" s="85"/>
      <c r="J26" s="85"/>
      <c r="K26" s="85">
        <f>SUM(K19:M20)/SUM(K22:M22)</f>
        <v>0.33333333333333331</v>
      </c>
      <c r="L26" s="85"/>
      <c r="M26" s="85"/>
      <c r="N26" s="85">
        <f>SUM(N19:P20)/SUM(N22:P22)</f>
        <v>0.76666666666666672</v>
      </c>
      <c r="O26" s="85"/>
      <c r="P26" s="85"/>
      <c r="Q26" s="85">
        <f>SUM(Q19:S20)/SUM(Q22:S22)</f>
        <v>0.66666666666666663</v>
      </c>
      <c r="R26" s="85"/>
      <c r="S26" s="86"/>
    </row>
  </sheetData>
  <mergeCells count="23">
    <mergeCell ref="Q25:S25"/>
    <mergeCell ref="B26:D26"/>
    <mergeCell ref="E26:G26"/>
    <mergeCell ref="H26:J26"/>
    <mergeCell ref="K26:M26"/>
    <mergeCell ref="N26:P26"/>
    <mergeCell ref="Q26:S26"/>
    <mergeCell ref="B25:D25"/>
    <mergeCell ref="E25:G25"/>
    <mergeCell ref="H25:J25"/>
    <mergeCell ref="K25:M25"/>
    <mergeCell ref="N25:P25"/>
    <mergeCell ref="H2:M2"/>
    <mergeCell ref="N3:P3"/>
    <mergeCell ref="Q3:S3"/>
    <mergeCell ref="A1:S1"/>
    <mergeCell ref="N2:S2"/>
    <mergeCell ref="B3:D3"/>
    <mergeCell ref="E3:G3"/>
    <mergeCell ref="B2:G2"/>
    <mergeCell ref="H3:J3"/>
    <mergeCell ref="K3:M3"/>
    <mergeCell ref="A2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0522-1959-3345-877F-F6948B701048}">
  <dimension ref="A1:G26"/>
  <sheetViews>
    <sheetView topLeftCell="D1" zoomScale="178" zoomScaleNormal="180" workbookViewId="0">
      <selection activeCell="E24" sqref="E24"/>
    </sheetView>
  </sheetViews>
  <sheetFormatPr baseColWidth="10" defaultRowHeight="16" x14ac:dyDescent="0.2"/>
  <sheetData>
    <row r="1" spans="1:7" x14ac:dyDescent="0.2">
      <c r="A1" s="87" t="s">
        <v>5</v>
      </c>
      <c r="B1" s="87"/>
      <c r="C1" s="87"/>
      <c r="D1" s="87"/>
      <c r="E1" s="87"/>
      <c r="F1" s="87"/>
      <c r="G1" s="88"/>
    </row>
    <row r="2" spans="1:7" x14ac:dyDescent="0.2">
      <c r="A2" s="93" t="s">
        <v>0</v>
      </c>
      <c r="B2" s="90" t="s">
        <v>28</v>
      </c>
      <c r="C2" s="92"/>
      <c r="D2" s="90" t="s">
        <v>3</v>
      </c>
      <c r="E2" s="92"/>
      <c r="F2" s="90" t="s">
        <v>4</v>
      </c>
      <c r="G2" s="92"/>
    </row>
    <row r="3" spans="1:7" x14ac:dyDescent="0.2">
      <c r="A3" s="95"/>
      <c r="B3" s="6" t="s">
        <v>1</v>
      </c>
      <c r="C3" s="6" t="s">
        <v>2</v>
      </c>
      <c r="D3" s="6" t="s">
        <v>1</v>
      </c>
      <c r="E3" s="6" t="s">
        <v>2</v>
      </c>
      <c r="F3" s="6" t="s">
        <v>1</v>
      </c>
      <c r="G3" s="6" t="s">
        <v>2</v>
      </c>
    </row>
    <row r="4" spans="1:7" x14ac:dyDescent="0.2">
      <c r="A4" s="7">
        <v>0</v>
      </c>
      <c r="B4" s="10" t="s">
        <v>30</v>
      </c>
      <c r="C4" s="11" t="s">
        <v>31</v>
      </c>
      <c r="D4" s="10" t="s">
        <v>9</v>
      </c>
      <c r="E4" s="11" t="s">
        <v>10</v>
      </c>
      <c r="F4" s="11" t="s">
        <v>11</v>
      </c>
      <c r="G4" s="11" t="s">
        <v>11</v>
      </c>
    </row>
    <row r="5" spans="1:7" x14ac:dyDescent="0.2">
      <c r="A5" s="7"/>
      <c r="B5" s="58"/>
      <c r="C5" s="59"/>
      <c r="D5" s="58"/>
      <c r="E5" s="59"/>
      <c r="F5" s="59"/>
      <c r="G5" s="60"/>
    </row>
    <row r="6" spans="1:7" x14ac:dyDescent="0.2">
      <c r="A6" s="7">
        <v>1</v>
      </c>
      <c r="B6" s="11" t="s">
        <v>69</v>
      </c>
      <c r="C6" s="76" t="s">
        <v>71</v>
      </c>
      <c r="D6" s="10" t="s">
        <v>9</v>
      </c>
      <c r="E6" s="10" t="s">
        <v>9</v>
      </c>
      <c r="F6" s="68" t="s">
        <v>71</v>
      </c>
      <c r="G6" s="11" t="s">
        <v>11</v>
      </c>
    </row>
    <row r="7" spans="1:7" x14ac:dyDescent="0.2">
      <c r="A7" s="7">
        <v>2</v>
      </c>
      <c r="B7" s="11" t="s">
        <v>69</v>
      </c>
      <c r="C7" s="76" t="s">
        <v>92</v>
      </c>
      <c r="D7" s="10" t="s">
        <v>9</v>
      </c>
      <c r="E7" s="11" t="s">
        <v>133</v>
      </c>
      <c r="F7" s="11" t="s">
        <v>72</v>
      </c>
      <c r="G7" s="11" t="s">
        <v>11</v>
      </c>
    </row>
    <row r="8" spans="1:7" x14ac:dyDescent="0.2">
      <c r="A8" s="7">
        <v>3</v>
      </c>
      <c r="B8" s="10" t="s">
        <v>9</v>
      </c>
      <c r="C8" s="11" t="s">
        <v>130</v>
      </c>
      <c r="D8" s="10" t="s">
        <v>9</v>
      </c>
      <c r="E8" s="10" t="s">
        <v>9</v>
      </c>
      <c r="F8" s="11" t="s">
        <v>72</v>
      </c>
      <c r="G8" s="11" t="s">
        <v>11</v>
      </c>
    </row>
    <row r="9" spans="1:7" x14ac:dyDescent="0.2">
      <c r="A9" s="7">
        <v>4</v>
      </c>
      <c r="B9" s="11" t="s">
        <v>69</v>
      </c>
      <c r="C9" s="11" t="s">
        <v>130</v>
      </c>
      <c r="D9" s="10" t="s">
        <v>9</v>
      </c>
      <c r="E9" s="10" t="s">
        <v>9</v>
      </c>
      <c r="F9" s="11" t="s">
        <v>73</v>
      </c>
      <c r="G9" s="68" t="s">
        <v>135</v>
      </c>
    </row>
    <row r="10" spans="1:7" x14ac:dyDescent="0.2">
      <c r="A10" s="7">
        <v>5</v>
      </c>
      <c r="B10" s="10" t="s">
        <v>9</v>
      </c>
      <c r="C10" s="76" t="s">
        <v>84</v>
      </c>
      <c r="D10" s="10" t="s">
        <v>9</v>
      </c>
      <c r="E10" s="11" t="s">
        <v>134</v>
      </c>
      <c r="F10" s="11" t="s">
        <v>72</v>
      </c>
      <c r="G10" s="11" t="s">
        <v>11</v>
      </c>
    </row>
    <row r="11" spans="1:7" x14ac:dyDescent="0.2">
      <c r="A11" s="7">
        <v>6</v>
      </c>
      <c r="B11" s="67" t="s">
        <v>69</v>
      </c>
      <c r="C11" s="11" t="s">
        <v>130</v>
      </c>
      <c r="D11" s="10" t="s">
        <v>9</v>
      </c>
      <c r="E11" s="10" t="s">
        <v>9</v>
      </c>
      <c r="F11" s="11" t="s">
        <v>72</v>
      </c>
      <c r="G11" s="11" t="s">
        <v>11</v>
      </c>
    </row>
    <row r="12" spans="1:7" x14ac:dyDescent="0.2">
      <c r="A12" s="7">
        <v>7</v>
      </c>
      <c r="B12" s="67" t="s">
        <v>70</v>
      </c>
      <c r="C12" s="11" t="s">
        <v>130</v>
      </c>
      <c r="D12" s="10" t="s">
        <v>9</v>
      </c>
      <c r="E12" s="10" t="s">
        <v>9</v>
      </c>
      <c r="F12" s="11" t="s">
        <v>72</v>
      </c>
      <c r="G12" s="11" t="s">
        <v>11</v>
      </c>
    </row>
    <row r="13" spans="1:7" x14ac:dyDescent="0.2">
      <c r="A13" s="7">
        <v>8</v>
      </c>
      <c r="B13" s="67" t="s">
        <v>69</v>
      </c>
      <c r="C13" s="11" t="s">
        <v>131</v>
      </c>
      <c r="D13" s="10" t="s">
        <v>9</v>
      </c>
      <c r="E13" s="10" t="s">
        <v>9</v>
      </c>
      <c r="F13" s="11" t="s">
        <v>72</v>
      </c>
      <c r="G13" s="11" t="s">
        <v>11</v>
      </c>
    </row>
    <row r="14" spans="1:7" x14ac:dyDescent="0.2">
      <c r="A14" s="7">
        <v>9</v>
      </c>
      <c r="B14" s="67" t="s">
        <v>69</v>
      </c>
      <c r="C14" s="11" t="s">
        <v>130</v>
      </c>
      <c r="D14" s="10" t="s">
        <v>9</v>
      </c>
      <c r="E14" s="10" t="s">
        <v>9</v>
      </c>
      <c r="F14" s="11" t="s">
        <v>72</v>
      </c>
      <c r="G14" s="11" t="s">
        <v>11</v>
      </c>
    </row>
    <row r="15" spans="1:7" x14ac:dyDescent="0.2">
      <c r="A15" s="7">
        <v>10</v>
      </c>
      <c r="B15" s="8"/>
      <c r="C15" s="11" t="s">
        <v>132</v>
      </c>
      <c r="D15" s="10" t="s">
        <v>9</v>
      </c>
      <c r="E15" s="10" t="s">
        <v>9</v>
      </c>
      <c r="F15" s="11" t="s">
        <v>12</v>
      </c>
      <c r="G15" s="11" t="s">
        <v>11</v>
      </c>
    </row>
    <row r="17" spans="1:7" x14ac:dyDescent="0.2">
      <c r="B17" s="69" t="s">
        <v>74</v>
      </c>
      <c r="F17" s="69" t="s">
        <v>75</v>
      </c>
    </row>
    <row r="19" spans="1:7" x14ac:dyDescent="0.2">
      <c r="A19" s="28" t="s">
        <v>41</v>
      </c>
      <c r="B19" s="28">
        <v>2</v>
      </c>
      <c r="C19" s="28">
        <v>0</v>
      </c>
      <c r="D19" s="28">
        <v>10</v>
      </c>
      <c r="E19" s="28">
        <v>8</v>
      </c>
      <c r="F19" s="28">
        <v>0</v>
      </c>
      <c r="G19" s="28">
        <v>0</v>
      </c>
    </row>
    <row r="20" spans="1:7" x14ac:dyDescent="0.2">
      <c r="A20" s="29" t="s">
        <v>42</v>
      </c>
      <c r="B20" s="29">
        <v>7</v>
      </c>
      <c r="C20" s="29">
        <v>7</v>
      </c>
      <c r="D20" s="29">
        <v>0</v>
      </c>
      <c r="E20" s="29">
        <v>2</v>
      </c>
      <c r="F20" s="29">
        <v>9</v>
      </c>
      <c r="G20" s="29">
        <v>9</v>
      </c>
    </row>
    <row r="21" spans="1:7" x14ac:dyDescent="0.2">
      <c r="A21" s="30" t="s">
        <v>43</v>
      </c>
      <c r="B21" s="30">
        <v>0</v>
      </c>
      <c r="C21" s="30">
        <v>3</v>
      </c>
      <c r="D21" s="30">
        <v>0</v>
      </c>
      <c r="E21" s="30">
        <v>0</v>
      </c>
      <c r="F21" s="30">
        <v>1</v>
      </c>
      <c r="G21" s="30">
        <v>1</v>
      </c>
    </row>
    <row r="22" spans="1:7" x14ac:dyDescent="0.2">
      <c r="A22" s="31" t="s">
        <v>44</v>
      </c>
      <c r="B22" s="32">
        <f t="shared" ref="B22:G22" si="0">SUM(B19:B21)</f>
        <v>9</v>
      </c>
      <c r="C22" s="32">
        <f t="shared" si="0"/>
        <v>10</v>
      </c>
      <c r="D22" s="32">
        <f t="shared" si="0"/>
        <v>10</v>
      </c>
      <c r="E22" s="32">
        <f t="shared" si="0"/>
        <v>10</v>
      </c>
      <c r="F22" s="32">
        <f t="shared" si="0"/>
        <v>10</v>
      </c>
      <c r="G22" s="32">
        <f t="shared" si="0"/>
        <v>10</v>
      </c>
    </row>
    <row r="23" spans="1:7" x14ac:dyDescent="0.2">
      <c r="A23" s="52"/>
      <c r="B23" s="33"/>
      <c r="C23" s="33"/>
      <c r="D23" s="33"/>
      <c r="E23" s="33"/>
      <c r="F23" s="33"/>
      <c r="G23" s="53"/>
    </row>
    <row r="24" spans="1:7" x14ac:dyDescent="0.2">
      <c r="A24" s="52"/>
      <c r="B24" s="33"/>
      <c r="C24" s="33"/>
      <c r="D24" s="33"/>
      <c r="E24" s="33"/>
      <c r="F24" s="33"/>
      <c r="G24" s="53"/>
    </row>
    <row r="25" spans="1:7" x14ac:dyDescent="0.2">
      <c r="A25" s="34" t="s">
        <v>45</v>
      </c>
      <c r="B25" s="54">
        <f t="shared" ref="B25:G25" si="1">B19/B22</f>
        <v>0.22222222222222221</v>
      </c>
      <c r="C25" s="54">
        <f t="shared" si="1"/>
        <v>0</v>
      </c>
      <c r="D25" s="54">
        <f t="shared" si="1"/>
        <v>1</v>
      </c>
      <c r="E25" s="54">
        <f t="shared" si="1"/>
        <v>0.8</v>
      </c>
      <c r="F25" s="54">
        <f t="shared" si="1"/>
        <v>0</v>
      </c>
      <c r="G25" s="54">
        <f t="shared" si="1"/>
        <v>0</v>
      </c>
    </row>
    <row r="26" spans="1:7" x14ac:dyDescent="0.2">
      <c r="A26" s="35" t="s">
        <v>46</v>
      </c>
      <c r="B26" s="56">
        <f t="shared" ref="B26:G26" si="2">SUM(B19,B20)/B22</f>
        <v>1</v>
      </c>
      <c r="C26" s="56">
        <f t="shared" si="2"/>
        <v>0.7</v>
      </c>
      <c r="D26" s="56">
        <f t="shared" si="2"/>
        <v>1</v>
      </c>
      <c r="E26" s="56">
        <f t="shared" si="2"/>
        <v>1</v>
      </c>
      <c r="F26" s="56">
        <f t="shared" si="2"/>
        <v>0.9</v>
      </c>
      <c r="G26" s="56">
        <f t="shared" si="2"/>
        <v>0.9</v>
      </c>
    </row>
  </sheetData>
  <mergeCells count="5">
    <mergeCell ref="A1:G1"/>
    <mergeCell ref="A2:A3"/>
    <mergeCell ref="B2:C2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Energy Control</vt:lpstr>
      <vt:lpstr>Auto Adapt</vt:lpstr>
      <vt:lpstr>Fixed Plans</vt:lpstr>
      <vt:lpstr>Remote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3122348072668270</dc:creator>
  <cp:lastModifiedBy>TU-Pseudonym 3122348072668270</cp:lastModifiedBy>
  <dcterms:created xsi:type="dcterms:W3CDTF">2024-09-23T15:03:38Z</dcterms:created>
  <dcterms:modified xsi:type="dcterms:W3CDTF">2024-09-25T17:03:25Z</dcterms:modified>
</cp:coreProperties>
</file>