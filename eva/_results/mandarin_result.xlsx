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ghe/llm4faas/eva/_results/"/>
    </mc:Choice>
  </mc:AlternateContent>
  <xr:revisionPtr revIDLastSave="0" documentId="13_ncr:1_{9C6EF1E1-F305-0643-B694-CF811022AC40}" xr6:coauthVersionLast="47" xr6:coauthVersionMax="47" xr10:uidLastSave="{00000000-0000-0000-0000-000000000000}"/>
  <bookViews>
    <workbookView xWindow="0" yWindow="0" windowWidth="51200" windowHeight="28800" activeTab="1" xr2:uid="{722548EF-65F8-7844-B682-C9AB7C87B0A2}"/>
  </bookViews>
  <sheets>
    <sheet name="Remote Control" sheetId="6" r:id="rId1"/>
    <sheet name="Energy Saving" sheetId="7" r:id="rId2"/>
    <sheet name="Fixed Plans" sheetId="3" r:id="rId3"/>
    <sheet name="Auto Adap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3" l="1"/>
  <c r="F37" i="3"/>
  <c r="E37" i="3"/>
  <c r="E39" i="3" s="1"/>
  <c r="I36" i="6"/>
  <c r="I40" i="6" s="1"/>
  <c r="E38" i="3" l="1"/>
  <c r="I39" i="6"/>
  <c r="C36" i="7"/>
  <c r="C40" i="7" s="1"/>
  <c r="B36" i="7"/>
  <c r="B40" i="7" s="1"/>
  <c r="B36" i="6"/>
  <c r="B40" i="6" s="1"/>
  <c r="B39" i="7" l="1"/>
  <c r="C39" i="7"/>
  <c r="B39" i="6"/>
  <c r="G38" i="4"/>
  <c r="F38" i="4"/>
  <c r="E38" i="4"/>
  <c r="D38" i="4"/>
  <c r="C38" i="4"/>
  <c r="B38" i="4"/>
  <c r="C36" i="6"/>
  <c r="C40" i="6" s="1"/>
  <c r="D37" i="3"/>
  <c r="C37" i="3"/>
  <c r="B37" i="3"/>
  <c r="B38" i="3" l="1"/>
  <c r="B39" i="3"/>
  <c r="B42" i="4"/>
  <c r="E42" i="4"/>
  <c r="E41" i="4"/>
  <c r="B41" i="4"/>
  <c r="C39" i="6"/>
</calcChain>
</file>

<file path=xl/sharedStrings.xml><?xml version="1.0" encoding="utf-8"?>
<sst xmlns="http://schemas.openxmlformats.org/spreadsheetml/2006/main" count="503" uniqueCount="119">
  <si>
    <t>✅</t>
  </si>
  <si>
    <t>Index</t>
  </si>
  <si>
    <t>Remote Control</t>
  </si>
  <si>
    <t xml:space="preserve"> Fixed Plans</t>
  </si>
  <si>
    <t>Auto Adapt</t>
  </si>
  <si>
    <t>cannot get sensor readings</t>
  </si>
  <si>
    <t>TypeError</t>
  </si>
  <si>
    <t>Morning</t>
  </si>
  <si>
    <t>Leave Home</t>
  </si>
  <si>
    <t>Movie</t>
  </si>
  <si>
    <t>Humidity</t>
  </si>
  <si>
    <t>Temperature</t>
  </si>
  <si>
    <t>Light Intensity</t>
  </si>
  <si>
    <t>Results</t>
  </si>
  <si>
    <t>PASS</t>
  </si>
  <si>
    <t>NOT PASS</t>
  </si>
  <si>
    <t>INVAILD</t>
  </si>
  <si>
    <t>TOTAL_VALID</t>
  </si>
  <si>
    <t>ModuleNotFoundError</t>
  </si>
  <si>
    <t>red: not pass/does not understand prompt</t>
  </si>
  <si>
    <t>green: ready-to-use</t>
  </si>
  <si>
    <t>yello: no error returned and fits the prompt</t>
  </si>
  <si>
    <t>COMPILE</t>
  </si>
  <si>
    <t xml:space="preserve"> PASS RATE</t>
  </si>
  <si>
    <t>COMPILABLE RATE</t>
  </si>
  <si>
    <t>cannot set brightness level</t>
  </si>
  <si>
    <t>glm-4-flash</t>
  </si>
  <si>
    <t>qianfan-zh-llama2-70b</t>
  </si>
  <si>
    <t>NameError</t>
  </si>
  <si>
    <t>cannot set brightness level; does not use the provided home-plan</t>
  </si>
  <si>
    <t>ModuleNotFoundError;✅（the function checks the light stauts before adjust brightness level）</t>
  </si>
  <si>
    <t>ModuleNotFoundError; does not take home-plan as a global variable</t>
  </si>
  <si>
    <t>does not use the provided home-plan</t>
  </si>
  <si>
    <t>qwen-max-0919</t>
  </si>
  <si>
    <t>only close living room lights</t>
  </si>
  <si>
    <t>cannot find acutators in a right method</t>
  </si>
  <si>
    <t>Import Error; ✅</t>
  </si>
  <si>
    <t>ImportErrors; cannot get sensor readings</t>
  </si>
  <si>
    <t>cannot find coffee machine;✅</t>
  </si>
  <si>
    <t>only trigger living room acturators</t>
  </si>
  <si>
    <t>ImportError;✅</t>
  </si>
  <si>
    <t>qwen will also provide unnecessary code, usually when the prompts are invalid. When it triggers sensor, the function cannot get sensor readings</t>
  </si>
  <si>
    <t>ImportError; ✅</t>
  </si>
  <si>
    <t>only trigger one curtain in the living room</t>
  </si>
  <si>
    <t>ImportError caused by spelling mistake; ✅</t>
  </si>
  <si>
    <t>the curtain is turned off right after turning it on</t>
  </si>
  <si>
    <t>✅; does not trigger curtain based on sensor readings</t>
  </si>
  <si>
    <t>ImportError; cannot find coffee machine; ✅</t>
  </si>
  <si>
    <t>ImportError; only trigger living room acturators; ✅</t>
  </si>
  <si>
    <t>TypeError; cannot find acutators in a right method</t>
  </si>
  <si>
    <t>only trigger one light in the living room</t>
  </si>
  <si>
    <t>only turn off one light in the living room</t>
  </si>
  <si>
    <t>cannot find coffee machine</t>
  </si>
  <si>
    <t>NameError; cannot set brightness level; ✅</t>
  </si>
  <si>
    <t>NameError; ✅</t>
  </si>
  <si>
    <t>✅; give 2 opitons: check light status or turn on the light then adjust brightness level</t>
  </si>
  <si>
    <t>✅; it checks the device status first</t>
  </si>
  <si>
    <t>qianfan-ernie-4.0-turbo-8k</t>
  </si>
  <si>
    <t>✅; the func checks device status first.</t>
  </si>
  <si>
    <t>NameError; cannot get sensor reading; ✅</t>
  </si>
  <si>
    <t>NameError; cannot trigger all related device in a room</t>
  </si>
  <si>
    <t>home-plan is not a global variable; ✅</t>
  </si>
  <si>
    <t xml:space="preserve">The func has a good logic, it checks devices status first, however, there will be TypeError when ac/heater status is on </t>
  </si>
  <si>
    <t>NameError; the humidity reading gathered is not outdoor reading</t>
  </si>
  <si>
    <t>the func would like to get both indoor and outdoor sensor reading in the same room.</t>
  </si>
  <si>
    <t>NameError;</t>
  </si>
  <si>
    <t>cannot get sensor reading</t>
  </si>
  <si>
    <t>NameError; cannot get Notification in the Kitchen; ✅</t>
  </si>
  <si>
    <t>Ready-to-Use Rate</t>
  </si>
  <si>
    <t>Compile Rate</t>
  </si>
  <si>
    <t>only trigger one light in the bedroom</t>
  </si>
  <si>
    <t>provide an usecase for the given project, i.e., it adjusts temperature according to sensor reading; it sends notification about tempterature adjustment; it triggers cleaning robot</t>
  </si>
  <si>
    <t>✅; work in the living room</t>
  </si>
  <si>
    <t>✅; it logs errors for the required unexist devices</t>
  </si>
  <si>
    <t>TypeError; canot get sensor reading to compare with the target temp_threshold</t>
  </si>
  <si>
    <t>it provides an usecase for the given project and can chect/adjust living room env based on the temp sensor reading</t>
  </si>
  <si>
    <t>it provides an usecase for the given project and can chect/adjust home env based on the temp sensor readings</t>
  </si>
  <si>
    <t>do not trigger devices as required</t>
  </si>
  <si>
    <t>cannot set brightness level; home is not a global variable</t>
  </si>
  <si>
    <t>✅; it chects light status before turning it/them off</t>
  </si>
  <si>
    <t>✅; example usage in the living room</t>
  </si>
  <si>
    <t>✅; use light status to determin if there is anyone at home</t>
  </si>
  <si>
    <t>only trigger one light when there are multiple ones at home</t>
  </si>
  <si>
    <t xml:space="preserve">cannot get sensor readings; aims to control lights at home </t>
  </si>
  <si>
    <t>use one sensor reading to control all actuators at home</t>
  </si>
  <si>
    <t>only turn off one ac when ther e are multiple ones at home</t>
  </si>
  <si>
    <t>NameError; cannot use the correct predefined method</t>
  </si>
  <si>
    <t>it provides an usecase for the given project and can chect/adjust home env based on the sensor readings</t>
  </si>
  <si>
    <t>TypeError; cannot get sensor reading</t>
  </si>
  <si>
    <t>only trigger one window in the lliving room</t>
  </si>
  <si>
    <t>only trigger one window when there are multiple ones</t>
  </si>
  <si>
    <t>cannot set brightness level; cannot trigger AC/Heater to adjust temperature</t>
  </si>
  <si>
    <t>ImportError, SmokeAlarm does not exist at home</t>
  </si>
  <si>
    <t>does not check sensor reading when the status is off</t>
  </si>
  <si>
    <t>does not adjust temp using the target temp</t>
  </si>
  <si>
    <t>TypeError, cannot get sensor readings</t>
  </si>
  <si>
    <t>NameError, cannot trigger smartTV</t>
  </si>
  <si>
    <t>cannot find coffee machine, it is in the kitchen not living room</t>
  </si>
  <si>
    <t>only trigger actuators in the living room</t>
  </si>
  <si>
    <t>NameError(import); ✅</t>
  </si>
  <si>
    <t>NameError(import); cannot set brightness level</t>
  </si>
  <si>
    <t>cannot set brightness level; cannot find coffee machine</t>
  </si>
  <si>
    <t>does not trigger curtain as required and additionally open windows</t>
  </si>
  <si>
    <t>cannot set brightness level; cannot find curtain</t>
  </si>
  <si>
    <t>NameError; cannot get sensor readings</t>
  </si>
  <si>
    <t>cannot find indoor and outdoor temp sensors</t>
  </si>
  <si>
    <t xml:space="preserve">NameError; </t>
  </si>
  <si>
    <t>use one sensor reading to trigger all related devices</t>
  </si>
  <si>
    <t>does not adjust humidifier</t>
  </si>
  <si>
    <t>does not control all lights</t>
  </si>
  <si>
    <t>AttributeError</t>
  </si>
  <si>
    <t>does not set target temp, but use it to determin adjust temp or not.</t>
  </si>
  <si>
    <t>home is not a global variable</t>
  </si>
  <si>
    <t xml:space="preserve">✅ the func works only when sensor has been turned on </t>
  </si>
  <si>
    <t>does not set target temp before calling adjust function</t>
  </si>
  <si>
    <t>IndentationError</t>
  </si>
  <si>
    <t>does not control humidity</t>
  </si>
  <si>
    <t>does not call adjust func; use one sensor reading to trigger all related devices</t>
  </si>
  <si>
    <t>✅; check sensor status first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</si>
</sst>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b/>
      <sz val="12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1CBF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</fills>
  <borders count="22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79">
    <xf numFmtId="0" fontId="0" fillId="0" borderId="0" xfId="0"/>
    <xf numFmtId="0" fontId="1" fillId="0" borderId="0" xfId="1"/>
    <xf numFmtId="0" fontId="1" fillId="0" borderId="0" xfId="1" applyAlignment="1">
      <alignment horizontal="left"/>
    </xf>
    <xf numFmtId="0" fontId="1" fillId="0" borderId="0" xfId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13" xfId="1" applyBorder="1" applyAlignment="1">
      <alignment horizontal="center"/>
    </xf>
    <xf numFmtId="0" fontId="1" fillId="0" borderId="19" xfId="1" applyBorder="1" applyAlignment="1">
      <alignment horizontal="center"/>
    </xf>
    <xf numFmtId="0" fontId="1" fillId="0" borderId="17" xfId="1" applyBorder="1" applyAlignment="1">
      <alignment horizontal="center"/>
    </xf>
    <xf numFmtId="0" fontId="1" fillId="0" borderId="14" xfId="1" applyBorder="1" applyAlignment="1">
      <alignment horizontal="center"/>
    </xf>
    <xf numFmtId="0" fontId="1" fillId="2" borderId="8" xfId="1" applyFill="1" applyBorder="1" applyAlignment="1">
      <alignment horizontal="center"/>
    </xf>
    <xf numFmtId="0" fontId="1" fillId="3" borderId="8" xfId="1" applyFill="1" applyBorder="1" applyAlignment="1">
      <alignment horizontal="center"/>
    </xf>
    <xf numFmtId="0" fontId="1" fillId="4" borderId="8" xfId="1" applyFill="1" applyBorder="1" applyAlignment="1">
      <alignment horizontal="center"/>
    </xf>
    <xf numFmtId="0" fontId="1" fillId="8" borderId="2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8" xfId="1" applyFont="1" applyBorder="1" applyAlignment="1">
      <alignment horizontal="center"/>
    </xf>
    <xf numFmtId="0" fontId="4" fillId="0" borderId="0" xfId="0" applyFont="1"/>
    <xf numFmtId="0" fontId="1" fillId="9" borderId="3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 vertical="center"/>
    </xf>
    <xf numFmtId="0" fontId="0" fillId="0" borderId="10" xfId="0" applyBorder="1"/>
    <xf numFmtId="0" fontId="0" fillId="0" borderId="12" xfId="0" applyBorder="1"/>
    <xf numFmtId="0" fontId="1" fillId="10" borderId="3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2" fillId="0" borderId="9" xfId="1" applyFont="1" applyBorder="1" applyAlignment="1">
      <alignment horizontal="center"/>
    </xf>
    <xf numFmtId="0" fontId="1" fillId="10" borderId="2" xfId="0" applyFont="1" applyFill="1" applyBorder="1" applyAlignment="1">
      <alignment horizontal="center" vertical="center"/>
    </xf>
    <xf numFmtId="164" fontId="1" fillId="0" borderId="0" xfId="1" applyNumberFormat="1" applyAlignment="1">
      <alignment horizontal="center" vertical="center"/>
    </xf>
    <xf numFmtId="0" fontId="1" fillId="11" borderId="9" xfId="1" applyFill="1" applyBorder="1" applyAlignment="1">
      <alignment horizontal="center" vertical="center"/>
    </xf>
    <xf numFmtId="0" fontId="0" fillId="11" borderId="0" xfId="0" applyFill="1"/>
    <xf numFmtId="0" fontId="1" fillId="11" borderId="11" xfId="1" applyFill="1" applyBorder="1" applyAlignment="1">
      <alignment horizontal="center" vertical="center"/>
    </xf>
    <xf numFmtId="164" fontId="0" fillId="11" borderId="10" xfId="0" applyNumberFormat="1" applyFill="1" applyBorder="1"/>
    <xf numFmtId="164" fontId="0" fillId="11" borderId="12" xfId="0" applyNumberFormat="1" applyFill="1" applyBorder="1"/>
    <xf numFmtId="0" fontId="0" fillId="0" borderId="0" xfId="0" applyAlignment="1">
      <alignment horizontal="left"/>
    </xf>
    <xf numFmtId="164" fontId="0" fillId="11" borderId="10" xfId="0" applyNumberFormat="1" applyFill="1" applyBorder="1" applyAlignment="1">
      <alignment horizontal="center"/>
    </xf>
    <xf numFmtId="164" fontId="0" fillId="11" borderId="12" xfId="0" applyNumberForma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1" fillId="4" borderId="8" xfId="0" applyFont="1" applyFill="1" applyBorder="1" applyAlignment="1">
      <alignment horizontal="left"/>
    </xf>
    <xf numFmtId="0" fontId="1" fillId="3" borderId="8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1" fillId="2" borderId="8" xfId="1" applyFill="1" applyBorder="1"/>
    <xf numFmtId="0" fontId="1" fillId="3" borderId="8" xfId="1" applyFill="1" applyBorder="1"/>
    <xf numFmtId="0" fontId="1" fillId="12" borderId="8" xfId="1" applyFill="1" applyBorder="1"/>
    <xf numFmtId="0" fontId="1" fillId="4" borderId="8" xfId="1" applyFill="1" applyBorder="1"/>
    <xf numFmtId="0" fontId="1" fillId="3" borderId="8" xfId="0" applyFont="1" applyFill="1" applyBorder="1" applyAlignment="1">
      <alignment horizontal="left" vertical="center"/>
    </xf>
    <xf numFmtId="0" fontId="1" fillId="4" borderId="8" xfId="0" applyFont="1" applyFill="1" applyBorder="1" applyAlignment="1">
      <alignment horizontal="left" vertical="center"/>
    </xf>
    <xf numFmtId="0" fontId="1" fillId="6" borderId="8" xfId="0" applyFont="1" applyFill="1" applyBorder="1" applyAlignment="1">
      <alignment horizontal="left"/>
    </xf>
    <xf numFmtId="0" fontId="1" fillId="6" borderId="8" xfId="0" applyFont="1" applyFill="1" applyBorder="1" applyAlignment="1">
      <alignment horizontal="left" vertical="center"/>
    </xf>
    <xf numFmtId="0" fontId="1" fillId="6" borderId="8" xfId="1" applyFill="1" applyBorder="1"/>
    <xf numFmtId="0" fontId="3" fillId="6" borderId="8" xfId="0" applyFont="1" applyFill="1" applyBorder="1" applyAlignment="1">
      <alignment horizontal="left" vertical="center"/>
    </xf>
    <xf numFmtId="49" fontId="1" fillId="6" borderId="8" xfId="0" applyNumberFormat="1" applyFont="1" applyFill="1" applyBorder="1" applyAlignment="1">
      <alignment horizontal="left" vertical="center"/>
    </xf>
    <xf numFmtId="0" fontId="1" fillId="8" borderId="8" xfId="0" applyFont="1" applyFill="1" applyBorder="1"/>
    <xf numFmtId="0" fontId="1" fillId="0" borderId="15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8" xfId="1" applyBorder="1" applyAlignment="1">
      <alignment horizontal="center"/>
    </xf>
    <xf numFmtId="0" fontId="1" fillId="7" borderId="0" xfId="0" applyFont="1" applyFill="1" applyAlignment="1">
      <alignment horizontal="center" vertical="center"/>
    </xf>
    <xf numFmtId="0" fontId="1" fillId="0" borderId="15" xfId="1" applyBorder="1" applyAlignment="1">
      <alignment horizontal="center" vertical="center"/>
    </xf>
    <xf numFmtId="0" fontId="1" fillId="0" borderId="16" xfId="1" applyBorder="1" applyAlignment="1">
      <alignment horizontal="center" vertical="center"/>
    </xf>
    <xf numFmtId="0" fontId="1" fillId="0" borderId="17" xfId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4" xfId="1" applyFont="1" applyBorder="1" applyAlignment="1">
      <alignment horizontal="center"/>
    </xf>
    <xf numFmtId="0" fontId="2" fillId="0" borderId="5" xfId="1" applyFont="1" applyBorder="1" applyAlignment="1">
      <alignment horizontal="center"/>
    </xf>
    <xf numFmtId="0" fontId="2" fillId="0" borderId="6" xfId="1" applyFont="1" applyBorder="1" applyAlignment="1">
      <alignment horizontal="center"/>
    </xf>
    <xf numFmtId="0" fontId="2" fillId="0" borderId="20" xfId="1" applyFont="1" applyBorder="1" applyAlignment="1">
      <alignment horizontal="center"/>
    </xf>
    <xf numFmtId="0" fontId="2" fillId="0" borderId="21" xfId="1" applyFont="1" applyBorder="1" applyAlignment="1">
      <alignment horizontal="center"/>
    </xf>
    <xf numFmtId="0" fontId="1" fillId="5" borderId="4" xfId="1" applyFill="1" applyBorder="1" applyAlignment="1">
      <alignment horizontal="center" vertical="center"/>
    </xf>
    <xf numFmtId="0" fontId="1" fillId="5" borderId="5" xfId="1" applyFill="1" applyBorder="1" applyAlignment="1">
      <alignment horizontal="center" vertical="center"/>
    </xf>
    <xf numFmtId="0" fontId="1" fillId="5" borderId="6" xfId="1" applyFill="1" applyBorder="1" applyAlignment="1">
      <alignment horizontal="center" vertical="center"/>
    </xf>
    <xf numFmtId="0" fontId="1" fillId="0" borderId="0" xfId="1" applyAlignment="1">
      <alignment horizontal="left" vertical="center"/>
    </xf>
    <xf numFmtId="164" fontId="1" fillId="11" borderId="10" xfId="1" applyNumberFormat="1" applyFill="1" applyBorder="1" applyAlignment="1">
      <alignment horizontal="center" vertical="center"/>
    </xf>
    <xf numFmtId="164" fontId="1" fillId="11" borderId="12" xfId="1" applyNumberFormat="1" applyFill="1" applyBorder="1" applyAlignment="1">
      <alignment horizontal="center" vertical="center"/>
    </xf>
    <xf numFmtId="0" fontId="1" fillId="0" borderId="20" xfId="1" applyBorder="1" applyAlignment="1">
      <alignment horizontal="center"/>
    </xf>
    <xf numFmtId="0" fontId="1" fillId="0" borderId="21" xfId="1" applyBorder="1" applyAlignment="1">
      <alignment horizontal="center"/>
    </xf>
    <xf numFmtId="0" fontId="1" fillId="5" borderId="8" xfId="1" applyFill="1" applyBorder="1" applyAlignment="1">
      <alignment horizontal="center" vertical="center"/>
    </xf>
  </cellXfs>
  <cellStyles count="2">
    <cellStyle name="Normal" xfId="0" builtinId="0"/>
    <cellStyle name="Normal 2" xfId="1" xr:uid="{E4988E07-D0C6-9C46-B525-87869DA09A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771CF-6E95-474B-850E-6C01114E9F7B}">
  <dimension ref="A1:I45"/>
  <sheetViews>
    <sheetView zoomScale="150" zoomScaleNormal="180" workbookViewId="0">
      <selection activeCell="B27" sqref="B27"/>
    </sheetView>
  </sheetViews>
  <sheetFormatPr baseColWidth="10" defaultRowHeight="16" x14ac:dyDescent="0.2"/>
  <cols>
    <col min="1" max="1" width="12.83203125" customWidth="1"/>
    <col min="2" max="2" width="35" style="44" customWidth="1"/>
    <col min="3" max="3" width="33.6640625" style="36" customWidth="1"/>
    <col min="9" max="9" width="20.83203125" customWidth="1"/>
  </cols>
  <sheetData>
    <row r="1" spans="1:9" x14ac:dyDescent="0.2">
      <c r="A1" s="57" t="s">
        <v>1</v>
      </c>
      <c r="B1" s="60" t="s">
        <v>2</v>
      </c>
      <c r="C1" s="60"/>
    </row>
    <row r="2" spans="1:9" x14ac:dyDescent="0.2">
      <c r="A2" s="58"/>
      <c r="B2" s="40" t="s">
        <v>33</v>
      </c>
      <c r="C2" s="40" t="s">
        <v>57</v>
      </c>
      <c r="I2" s="40" t="s">
        <v>26</v>
      </c>
    </row>
    <row r="3" spans="1:9" x14ac:dyDescent="0.2">
      <c r="A3" s="39">
        <v>1</v>
      </c>
      <c r="B3" s="41" t="s">
        <v>53</v>
      </c>
      <c r="C3" s="42" t="s">
        <v>70</v>
      </c>
      <c r="I3" s="41" t="s">
        <v>28</v>
      </c>
    </row>
    <row r="4" spans="1:9" x14ac:dyDescent="0.2">
      <c r="A4" s="39">
        <v>2</v>
      </c>
      <c r="B4" s="43" t="s">
        <v>0</v>
      </c>
      <c r="C4" s="43" t="s">
        <v>0</v>
      </c>
      <c r="I4" s="42" t="s">
        <v>29</v>
      </c>
    </row>
    <row r="5" spans="1:9" x14ac:dyDescent="0.2">
      <c r="A5" s="39">
        <v>3</v>
      </c>
      <c r="B5" s="43" t="s">
        <v>0</v>
      </c>
      <c r="C5" s="43" t="s">
        <v>79</v>
      </c>
      <c r="I5" s="41" t="s">
        <v>18</v>
      </c>
    </row>
    <row r="6" spans="1:9" x14ac:dyDescent="0.2">
      <c r="A6" s="39">
        <v>4</v>
      </c>
      <c r="B6" s="41" t="s">
        <v>54</v>
      </c>
      <c r="C6" s="43" t="s">
        <v>79</v>
      </c>
      <c r="I6" s="41" t="s">
        <v>18</v>
      </c>
    </row>
    <row r="7" spans="1:9" x14ac:dyDescent="0.2">
      <c r="A7" s="39">
        <v>5</v>
      </c>
      <c r="B7" s="51"/>
      <c r="C7" s="55" t="s">
        <v>71</v>
      </c>
      <c r="I7" s="51" t="s">
        <v>28</v>
      </c>
    </row>
    <row r="8" spans="1:9" x14ac:dyDescent="0.2">
      <c r="A8" s="39">
        <v>6</v>
      </c>
      <c r="B8" s="41" t="s">
        <v>54</v>
      </c>
      <c r="C8" s="43" t="s">
        <v>72</v>
      </c>
      <c r="I8" s="41" t="s">
        <v>28</v>
      </c>
    </row>
    <row r="9" spans="1:9" x14ac:dyDescent="0.2">
      <c r="A9" s="39">
        <v>7</v>
      </c>
      <c r="B9" s="43" t="s">
        <v>55</v>
      </c>
      <c r="C9" s="42" t="s">
        <v>25</v>
      </c>
      <c r="I9" s="41" t="s">
        <v>30</v>
      </c>
    </row>
    <row r="10" spans="1:9" x14ac:dyDescent="0.2">
      <c r="A10" s="39">
        <v>8</v>
      </c>
      <c r="B10" s="42" t="s">
        <v>50</v>
      </c>
      <c r="C10" s="43" t="s">
        <v>0</v>
      </c>
      <c r="I10" s="43" t="s">
        <v>0</v>
      </c>
    </row>
    <row r="11" spans="1:9" x14ac:dyDescent="0.2">
      <c r="A11" s="39">
        <v>9</v>
      </c>
      <c r="B11" s="43" t="s">
        <v>0</v>
      </c>
      <c r="C11" s="43" t="s">
        <v>73</v>
      </c>
      <c r="I11" s="41" t="s">
        <v>18</v>
      </c>
    </row>
    <row r="12" spans="1:9" x14ac:dyDescent="0.2">
      <c r="A12" s="39">
        <v>10</v>
      </c>
      <c r="B12" s="43" t="s">
        <v>0</v>
      </c>
      <c r="C12" s="42" t="s">
        <v>89</v>
      </c>
      <c r="I12" s="41" t="s">
        <v>6</v>
      </c>
    </row>
    <row r="13" spans="1:9" x14ac:dyDescent="0.2">
      <c r="A13" s="39">
        <v>11</v>
      </c>
      <c r="B13" s="49" t="s">
        <v>5</v>
      </c>
      <c r="C13" s="43" t="s">
        <v>0</v>
      </c>
      <c r="I13" s="41" t="s">
        <v>31</v>
      </c>
    </row>
    <row r="14" spans="1:9" x14ac:dyDescent="0.2">
      <c r="A14" s="39">
        <v>12</v>
      </c>
      <c r="B14" s="43" t="s">
        <v>0</v>
      </c>
      <c r="C14" s="43" t="s">
        <v>0</v>
      </c>
      <c r="I14" s="41" t="s">
        <v>32</v>
      </c>
    </row>
    <row r="15" spans="1:9" x14ac:dyDescent="0.2">
      <c r="A15" s="39">
        <v>13</v>
      </c>
      <c r="B15" s="43" t="s">
        <v>56</v>
      </c>
      <c r="C15" s="41" t="s">
        <v>74</v>
      </c>
      <c r="I15" s="41" t="s">
        <v>18</v>
      </c>
    </row>
    <row r="16" spans="1:9" x14ac:dyDescent="0.2">
      <c r="A16" s="39">
        <v>14</v>
      </c>
      <c r="B16" s="43" t="s">
        <v>0</v>
      </c>
      <c r="C16" s="43" t="s">
        <v>0</v>
      </c>
      <c r="I16" s="41" t="s">
        <v>28</v>
      </c>
    </row>
    <row r="17" spans="1:9" x14ac:dyDescent="0.2">
      <c r="A17" s="39">
        <v>15</v>
      </c>
      <c r="B17" s="54"/>
      <c r="C17" s="54" t="s">
        <v>76</v>
      </c>
      <c r="I17" s="54"/>
    </row>
    <row r="18" spans="1:9" x14ac:dyDescent="0.2">
      <c r="A18" s="39">
        <v>16</v>
      </c>
      <c r="B18" s="54"/>
      <c r="C18" s="54" t="s">
        <v>75</v>
      </c>
      <c r="I18" s="51" t="s">
        <v>18</v>
      </c>
    </row>
    <row r="19" spans="1:9" x14ac:dyDescent="0.2">
      <c r="A19" s="39">
        <v>17</v>
      </c>
      <c r="B19" s="42" t="s">
        <v>51</v>
      </c>
      <c r="C19" s="43" t="s">
        <v>0</v>
      </c>
      <c r="I19" s="41" t="s">
        <v>28</v>
      </c>
    </row>
    <row r="20" spans="1:9" x14ac:dyDescent="0.2">
      <c r="A20" s="39">
        <v>18</v>
      </c>
      <c r="B20" s="43" t="s">
        <v>0</v>
      </c>
      <c r="C20" s="43" t="s">
        <v>80</v>
      </c>
      <c r="I20" s="41" t="s">
        <v>18</v>
      </c>
    </row>
    <row r="21" spans="1:9" x14ac:dyDescent="0.2">
      <c r="A21" s="39">
        <v>19</v>
      </c>
      <c r="B21" s="43" t="s">
        <v>0</v>
      </c>
      <c r="C21" s="43" t="s">
        <v>0</v>
      </c>
      <c r="I21" s="41" t="s">
        <v>28</v>
      </c>
    </row>
    <row r="22" spans="1:9" x14ac:dyDescent="0.2">
      <c r="A22" s="39">
        <v>20</v>
      </c>
      <c r="B22" s="43" t="s">
        <v>0</v>
      </c>
      <c r="C22" s="43" t="s">
        <v>81</v>
      </c>
      <c r="I22" s="41" t="s">
        <v>18</v>
      </c>
    </row>
    <row r="23" spans="1:9" x14ac:dyDescent="0.2">
      <c r="A23" s="39">
        <v>21</v>
      </c>
      <c r="B23" s="42" t="s">
        <v>52</v>
      </c>
      <c r="C23" s="42" t="s">
        <v>77</v>
      </c>
      <c r="I23" s="41" t="s">
        <v>18</v>
      </c>
    </row>
    <row r="24" spans="1:9" x14ac:dyDescent="0.2">
      <c r="A24" s="39">
        <v>22</v>
      </c>
      <c r="B24" s="43" t="s">
        <v>0</v>
      </c>
      <c r="C24" s="43" t="s">
        <v>0</v>
      </c>
      <c r="I24" s="41" t="s">
        <v>18</v>
      </c>
    </row>
    <row r="25" spans="1:9" x14ac:dyDescent="0.2">
      <c r="A25" s="39">
        <v>23</v>
      </c>
      <c r="B25" s="43" t="s">
        <v>0</v>
      </c>
      <c r="C25" s="41" t="s">
        <v>54</v>
      </c>
      <c r="I25" s="41" t="s">
        <v>28</v>
      </c>
    </row>
    <row r="26" spans="1:9" x14ac:dyDescent="0.2">
      <c r="A26" s="39">
        <v>24</v>
      </c>
      <c r="B26" s="43" t="s">
        <v>0</v>
      </c>
      <c r="C26" s="43" t="s">
        <v>0</v>
      </c>
      <c r="I26" s="41" t="s">
        <v>6</v>
      </c>
    </row>
    <row r="27" spans="1:9" x14ac:dyDescent="0.2">
      <c r="A27" s="39">
        <v>25</v>
      </c>
      <c r="B27" s="42" t="s">
        <v>25</v>
      </c>
      <c r="C27" s="42" t="s">
        <v>78</v>
      </c>
      <c r="I27" s="41" t="s">
        <v>18</v>
      </c>
    </row>
    <row r="28" spans="1:9" x14ac:dyDescent="0.2">
      <c r="A28" s="39">
        <v>26</v>
      </c>
      <c r="B28" s="41" t="s">
        <v>28</v>
      </c>
      <c r="C28" s="42" t="s">
        <v>82</v>
      </c>
      <c r="I28" s="41" t="s">
        <v>18</v>
      </c>
    </row>
    <row r="30" spans="1:9" x14ac:dyDescent="0.2">
      <c r="A30" s="59" t="s">
        <v>13</v>
      </c>
      <c r="B30" s="59"/>
      <c r="C30" s="59"/>
    </row>
    <row r="31" spans="1:9" s="19" customFormat="1" x14ac:dyDescent="0.2">
      <c r="A31" s="28"/>
      <c r="B31" s="40" t="s">
        <v>27</v>
      </c>
      <c r="C31" s="40" t="s">
        <v>57</v>
      </c>
      <c r="I31" s="40" t="s">
        <v>26</v>
      </c>
    </row>
    <row r="32" spans="1:9" x14ac:dyDescent="0.2">
      <c r="A32" s="24" t="s">
        <v>14</v>
      </c>
      <c r="B32" s="29">
        <v>14</v>
      </c>
      <c r="C32" s="29">
        <v>15</v>
      </c>
      <c r="I32" s="29">
        <v>1</v>
      </c>
    </row>
    <row r="33" spans="1:9" x14ac:dyDescent="0.2">
      <c r="A33" s="10" t="s">
        <v>22</v>
      </c>
      <c r="B33" s="12">
        <v>5</v>
      </c>
      <c r="C33" s="12">
        <v>6</v>
      </c>
      <c r="I33" s="12">
        <v>1</v>
      </c>
    </row>
    <row r="34" spans="1:9" x14ac:dyDescent="0.2">
      <c r="A34" s="20" t="s">
        <v>15</v>
      </c>
      <c r="B34" s="13">
        <v>4</v>
      </c>
      <c r="C34" s="13">
        <v>2</v>
      </c>
      <c r="I34" s="13">
        <v>21</v>
      </c>
    </row>
    <row r="35" spans="1:9" x14ac:dyDescent="0.2">
      <c r="A35" s="25" t="s">
        <v>16</v>
      </c>
      <c r="B35" s="21">
        <v>3</v>
      </c>
      <c r="C35" s="21">
        <v>3</v>
      </c>
      <c r="I35" s="21">
        <v>3</v>
      </c>
    </row>
    <row r="36" spans="1:9" x14ac:dyDescent="0.2">
      <c r="A36" s="26" t="s">
        <v>17</v>
      </c>
      <c r="B36" s="27">
        <f t="shared" ref="B36:C36" si="0">SUM(B32:B34)</f>
        <v>23</v>
      </c>
      <c r="C36" s="27">
        <f t="shared" si="0"/>
        <v>23</v>
      </c>
      <c r="I36" s="27">
        <f t="shared" ref="I36" si="1">SUM(I32:I34)</f>
        <v>23</v>
      </c>
    </row>
    <row r="39" spans="1:9" x14ac:dyDescent="0.2">
      <c r="A39" s="31" t="s">
        <v>23</v>
      </c>
      <c r="B39" s="37">
        <f t="shared" ref="B39:C39" si="2">B32/B36</f>
        <v>0.60869565217391308</v>
      </c>
      <c r="C39" s="37">
        <f t="shared" si="2"/>
        <v>0.65217391304347827</v>
      </c>
      <c r="I39" s="34">
        <f t="shared" ref="I39" si="3">I32/I36</f>
        <v>4.3478260869565216E-2</v>
      </c>
    </row>
    <row r="40" spans="1:9" x14ac:dyDescent="0.2">
      <c r="A40" s="33" t="s">
        <v>24</v>
      </c>
      <c r="B40" s="38">
        <f t="shared" ref="B40:C40" si="4">SUM(B32,B33)/B36</f>
        <v>0.82608695652173914</v>
      </c>
      <c r="C40" s="38">
        <f t="shared" si="4"/>
        <v>0.91304347826086951</v>
      </c>
      <c r="I40" s="35">
        <f t="shared" ref="I40" si="5">SUM(I32,I33)/I36</f>
        <v>8.6956521739130432E-2</v>
      </c>
    </row>
    <row r="43" spans="1:9" x14ac:dyDescent="0.2">
      <c r="A43" t="s">
        <v>19</v>
      </c>
    </row>
    <row r="44" spans="1:9" x14ac:dyDescent="0.2">
      <c r="A44" t="s">
        <v>20</v>
      </c>
    </row>
    <row r="45" spans="1:9" x14ac:dyDescent="0.2">
      <c r="A45" t="s">
        <v>21</v>
      </c>
    </row>
  </sheetData>
  <mergeCells count="3">
    <mergeCell ref="A1:A2"/>
    <mergeCell ref="A30:C30"/>
    <mergeCell ref="B1:C1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021E4-4DF7-064E-B852-66FC5A7A40D0}">
  <dimension ref="A1:C45"/>
  <sheetViews>
    <sheetView tabSelected="1" zoomScale="150" zoomScaleNormal="180" workbookViewId="0">
      <selection activeCell="J35" sqref="J35"/>
    </sheetView>
  </sheetViews>
  <sheetFormatPr baseColWidth="10" defaultRowHeight="16" x14ac:dyDescent="0.2"/>
  <cols>
    <col min="1" max="1" width="12.83203125" customWidth="1"/>
    <col min="2" max="2" width="20.83203125" customWidth="1"/>
    <col min="3" max="3" width="20.83203125" style="36" customWidth="1"/>
  </cols>
  <sheetData>
    <row r="1" spans="1:3" x14ac:dyDescent="0.2">
      <c r="A1" s="57" t="s">
        <v>1</v>
      </c>
      <c r="B1" s="60"/>
      <c r="C1" s="60"/>
    </row>
    <row r="2" spans="1:3" x14ac:dyDescent="0.2">
      <c r="A2" s="58"/>
      <c r="B2" s="40" t="s">
        <v>33</v>
      </c>
      <c r="C2" s="40" t="s">
        <v>57</v>
      </c>
    </row>
    <row r="3" spans="1:3" x14ac:dyDescent="0.2">
      <c r="A3" s="39">
        <v>1</v>
      </c>
      <c r="B3" s="43" t="s">
        <v>58</v>
      </c>
      <c r="C3" s="49" t="s">
        <v>83</v>
      </c>
    </row>
    <row r="4" spans="1:3" x14ac:dyDescent="0.2">
      <c r="A4" s="39">
        <v>2</v>
      </c>
      <c r="B4" s="50" t="s">
        <v>59</v>
      </c>
      <c r="C4" s="42" t="s">
        <v>66</v>
      </c>
    </row>
    <row r="5" spans="1:3" x14ac:dyDescent="0.2">
      <c r="A5" s="39">
        <v>3</v>
      </c>
      <c r="B5" s="50" t="s">
        <v>60</v>
      </c>
      <c r="C5" s="43" t="s">
        <v>0</v>
      </c>
    </row>
    <row r="6" spans="1:3" x14ac:dyDescent="0.2">
      <c r="A6" s="39">
        <v>4</v>
      </c>
      <c r="B6" s="49" t="s">
        <v>61</v>
      </c>
      <c r="C6" s="43" t="s">
        <v>0</v>
      </c>
    </row>
    <row r="7" spans="1:3" x14ac:dyDescent="0.2">
      <c r="A7" s="39">
        <v>5</v>
      </c>
      <c r="B7" s="51"/>
      <c r="C7" s="51" t="s">
        <v>84</v>
      </c>
    </row>
    <row r="8" spans="1:3" x14ac:dyDescent="0.2">
      <c r="A8" s="39">
        <v>6</v>
      </c>
      <c r="B8" s="42" t="s">
        <v>62</v>
      </c>
      <c r="C8" s="43" t="s">
        <v>0</v>
      </c>
    </row>
    <row r="9" spans="1:3" x14ac:dyDescent="0.2">
      <c r="A9" s="39">
        <v>7</v>
      </c>
      <c r="B9" s="43" t="s">
        <v>0</v>
      </c>
      <c r="C9" s="42" t="s">
        <v>66</v>
      </c>
    </row>
    <row r="10" spans="1:3" x14ac:dyDescent="0.2">
      <c r="A10" s="39">
        <v>8</v>
      </c>
      <c r="B10" s="43" t="s">
        <v>0</v>
      </c>
      <c r="C10" s="43" t="s">
        <v>0</v>
      </c>
    </row>
    <row r="11" spans="1:3" x14ac:dyDescent="0.2">
      <c r="A11" s="39">
        <v>9</v>
      </c>
      <c r="B11" s="43" t="s">
        <v>0</v>
      </c>
      <c r="C11" s="42" t="s">
        <v>94</v>
      </c>
    </row>
    <row r="12" spans="1:3" x14ac:dyDescent="0.2">
      <c r="A12" s="39">
        <v>10</v>
      </c>
      <c r="B12" s="43" t="s">
        <v>0</v>
      </c>
      <c r="C12" s="42" t="s">
        <v>85</v>
      </c>
    </row>
    <row r="13" spans="1:3" x14ac:dyDescent="0.2">
      <c r="A13" s="39">
        <v>11</v>
      </c>
      <c r="B13" s="43" t="s">
        <v>0</v>
      </c>
      <c r="C13" s="43" t="s">
        <v>0</v>
      </c>
    </row>
    <row r="14" spans="1:3" x14ac:dyDescent="0.2">
      <c r="A14" s="39">
        <v>12</v>
      </c>
      <c r="B14" s="50" t="s">
        <v>63</v>
      </c>
      <c r="C14" s="50" t="s">
        <v>86</v>
      </c>
    </row>
    <row r="15" spans="1:3" x14ac:dyDescent="0.2">
      <c r="A15" s="39">
        <v>13</v>
      </c>
      <c r="B15" s="42" t="s">
        <v>64</v>
      </c>
      <c r="C15" s="42" t="s">
        <v>66</v>
      </c>
    </row>
    <row r="16" spans="1:3" x14ac:dyDescent="0.2">
      <c r="A16" s="39">
        <v>14</v>
      </c>
      <c r="B16" s="52" t="s">
        <v>65</v>
      </c>
      <c r="C16" s="54" t="s">
        <v>87</v>
      </c>
    </row>
    <row r="17" spans="1:3" x14ac:dyDescent="0.2">
      <c r="A17" s="39">
        <v>15</v>
      </c>
      <c r="B17" s="52"/>
      <c r="C17" s="51" t="s">
        <v>65</v>
      </c>
    </row>
    <row r="18" spans="1:3" x14ac:dyDescent="0.2">
      <c r="A18" s="39">
        <v>16</v>
      </c>
      <c r="B18" s="51" t="s">
        <v>66</v>
      </c>
      <c r="C18" s="51" t="s">
        <v>88</v>
      </c>
    </row>
    <row r="19" spans="1:3" x14ac:dyDescent="0.2">
      <c r="A19" s="39">
        <v>17</v>
      </c>
      <c r="B19" s="42" t="s">
        <v>66</v>
      </c>
      <c r="C19" s="42" t="s">
        <v>66</v>
      </c>
    </row>
    <row r="20" spans="1:3" x14ac:dyDescent="0.2">
      <c r="A20" s="39">
        <v>18</v>
      </c>
      <c r="B20" s="43" t="s">
        <v>0</v>
      </c>
      <c r="C20" s="42" t="s">
        <v>90</v>
      </c>
    </row>
    <row r="21" spans="1:3" x14ac:dyDescent="0.2">
      <c r="A21" s="39">
        <v>19</v>
      </c>
      <c r="B21" s="52"/>
      <c r="C21" s="51" t="s">
        <v>66</v>
      </c>
    </row>
    <row r="22" spans="1:3" x14ac:dyDescent="0.2">
      <c r="A22" s="39">
        <v>20</v>
      </c>
      <c r="B22" s="50" t="s">
        <v>54</v>
      </c>
      <c r="C22" s="42" t="s">
        <v>91</v>
      </c>
    </row>
    <row r="23" spans="1:3" x14ac:dyDescent="0.2">
      <c r="A23" s="39">
        <v>21</v>
      </c>
      <c r="B23" s="43" t="s">
        <v>0</v>
      </c>
      <c r="C23" s="43" t="s">
        <v>0</v>
      </c>
    </row>
    <row r="24" spans="1:3" x14ac:dyDescent="0.2">
      <c r="A24" s="39">
        <v>22</v>
      </c>
      <c r="B24" s="50" t="s">
        <v>67</v>
      </c>
      <c r="C24" s="50" t="s">
        <v>92</v>
      </c>
    </row>
    <row r="25" spans="1:3" x14ac:dyDescent="0.2">
      <c r="A25" s="39">
        <v>23</v>
      </c>
      <c r="B25" s="43" t="s">
        <v>0</v>
      </c>
      <c r="C25" s="42" t="s">
        <v>93</v>
      </c>
    </row>
    <row r="26" spans="1:3" x14ac:dyDescent="0.2">
      <c r="A26" s="39">
        <v>24</v>
      </c>
      <c r="B26" s="42" t="s">
        <v>105</v>
      </c>
      <c r="C26" s="43" t="s">
        <v>0</v>
      </c>
    </row>
    <row r="27" spans="1:3" x14ac:dyDescent="0.2">
      <c r="A27" s="39">
        <v>25</v>
      </c>
      <c r="B27" s="50" t="s">
        <v>106</v>
      </c>
      <c r="C27" s="50" t="s">
        <v>86</v>
      </c>
    </row>
    <row r="28" spans="1:3" x14ac:dyDescent="0.2">
      <c r="A28" s="39">
        <v>26</v>
      </c>
      <c r="B28" s="42" t="s">
        <v>105</v>
      </c>
      <c r="C28" s="43" t="s">
        <v>0</v>
      </c>
    </row>
    <row r="30" spans="1:3" x14ac:dyDescent="0.2">
      <c r="A30" s="59" t="s">
        <v>13</v>
      </c>
      <c r="B30" s="59"/>
      <c r="C30" s="59"/>
    </row>
    <row r="31" spans="1:3" s="19" customFormat="1" x14ac:dyDescent="0.2">
      <c r="A31" s="28"/>
      <c r="B31" s="40" t="s">
        <v>33</v>
      </c>
      <c r="C31" s="40" t="s">
        <v>57</v>
      </c>
    </row>
    <row r="32" spans="1:3" x14ac:dyDescent="0.2">
      <c r="A32" s="24" t="s">
        <v>14</v>
      </c>
      <c r="B32" s="29">
        <v>9</v>
      </c>
      <c r="C32" s="29">
        <v>8</v>
      </c>
    </row>
    <row r="33" spans="1:3" x14ac:dyDescent="0.2">
      <c r="A33" s="10" t="s">
        <v>22</v>
      </c>
      <c r="B33" s="12">
        <v>6</v>
      </c>
      <c r="C33" s="12">
        <v>10</v>
      </c>
    </row>
    <row r="34" spans="1:3" x14ac:dyDescent="0.2">
      <c r="A34" s="20" t="s">
        <v>15</v>
      </c>
      <c r="B34" s="13">
        <v>6</v>
      </c>
      <c r="C34" s="13">
        <v>3</v>
      </c>
    </row>
    <row r="35" spans="1:3" x14ac:dyDescent="0.2">
      <c r="A35" s="25" t="s">
        <v>16</v>
      </c>
      <c r="B35" s="21">
        <v>5</v>
      </c>
      <c r="C35" s="21">
        <v>5</v>
      </c>
    </row>
    <row r="36" spans="1:3" x14ac:dyDescent="0.2">
      <c r="A36" s="26" t="s">
        <v>17</v>
      </c>
      <c r="B36" s="27">
        <f t="shared" ref="B36:C36" si="0">SUM(B32:B34)</f>
        <v>21</v>
      </c>
      <c r="C36" s="27">
        <f t="shared" si="0"/>
        <v>21</v>
      </c>
    </row>
    <row r="39" spans="1:3" x14ac:dyDescent="0.2">
      <c r="A39" s="31" t="s">
        <v>23</v>
      </c>
      <c r="B39" s="34">
        <f t="shared" ref="B39:C39" si="1">B32/B36</f>
        <v>0.42857142857142855</v>
      </c>
      <c r="C39" s="37">
        <f t="shared" si="1"/>
        <v>0.38095238095238093</v>
      </c>
    </row>
    <row r="40" spans="1:3" x14ac:dyDescent="0.2">
      <c r="A40" s="33" t="s">
        <v>24</v>
      </c>
      <c r="B40" s="35">
        <f t="shared" ref="B40:C40" si="2">SUM(B32,B33)/B36</f>
        <v>0.7142857142857143</v>
      </c>
      <c r="C40" s="38">
        <f t="shared" si="2"/>
        <v>0.8571428571428571</v>
      </c>
    </row>
    <row r="43" spans="1:3" x14ac:dyDescent="0.2">
      <c r="A43" t="s">
        <v>19</v>
      </c>
    </row>
    <row r="44" spans="1:3" x14ac:dyDescent="0.2">
      <c r="A44" t="s">
        <v>20</v>
      </c>
    </row>
    <row r="45" spans="1:3" x14ac:dyDescent="0.2">
      <c r="A45" t="s">
        <v>21</v>
      </c>
    </row>
  </sheetData>
  <mergeCells count="3">
    <mergeCell ref="A1:A2"/>
    <mergeCell ref="B1:C1"/>
    <mergeCell ref="A30:C30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50FA2-C63D-F443-9008-6A0C00232DF0}">
  <dimension ref="A1:G47"/>
  <sheetViews>
    <sheetView zoomScale="138" zoomScaleNormal="150" workbookViewId="0">
      <selection activeCell="L31" sqref="L31"/>
    </sheetView>
  </sheetViews>
  <sheetFormatPr baseColWidth="10" defaultRowHeight="16" x14ac:dyDescent="0.2"/>
  <cols>
    <col min="1" max="1" width="12" style="3" customWidth="1"/>
    <col min="2" max="2" width="15.83203125" style="1" customWidth="1"/>
    <col min="3" max="3" width="15.6640625" style="1" customWidth="1"/>
    <col min="4" max="4" width="15.83203125" style="1" customWidth="1"/>
    <col min="5" max="6" width="15.6640625" style="3" customWidth="1"/>
    <col min="7" max="7" width="15.6640625" style="1" customWidth="1"/>
  </cols>
  <sheetData>
    <row r="1" spans="1:7" x14ac:dyDescent="0.2">
      <c r="A1" s="61" t="s">
        <v>1</v>
      </c>
      <c r="B1" s="70" t="s">
        <v>3</v>
      </c>
      <c r="C1" s="71"/>
      <c r="D1" s="71"/>
      <c r="E1" s="71"/>
      <c r="F1" s="71"/>
      <c r="G1" s="72"/>
    </row>
    <row r="2" spans="1:7" s="19" customFormat="1" x14ac:dyDescent="0.2">
      <c r="A2" s="62"/>
      <c r="B2" s="64" t="s">
        <v>57</v>
      </c>
      <c r="C2" s="64"/>
      <c r="D2" s="64"/>
      <c r="E2" s="64" t="s">
        <v>33</v>
      </c>
      <c r="F2" s="64"/>
      <c r="G2" s="64"/>
    </row>
    <row r="3" spans="1:7" s="44" customFormat="1" x14ac:dyDescent="0.2">
      <c r="A3" s="63"/>
      <c r="B3" s="5" t="s">
        <v>7</v>
      </c>
      <c r="C3" s="5" t="s">
        <v>8</v>
      </c>
      <c r="D3" s="5" t="s">
        <v>9</v>
      </c>
      <c r="E3" s="5" t="s">
        <v>7</v>
      </c>
      <c r="F3" s="5" t="s">
        <v>8</v>
      </c>
      <c r="G3" s="5" t="s">
        <v>9</v>
      </c>
    </row>
    <row r="4" spans="1:7" x14ac:dyDescent="0.2">
      <c r="A4" s="6">
        <v>1</v>
      </c>
      <c r="B4" s="46" t="s">
        <v>97</v>
      </c>
      <c r="C4" s="46" t="s">
        <v>98</v>
      </c>
      <c r="D4" s="45" t="s">
        <v>0</v>
      </c>
      <c r="E4" s="45" t="s">
        <v>0</v>
      </c>
      <c r="F4" s="46" t="s">
        <v>34</v>
      </c>
      <c r="G4" s="45" t="s">
        <v>0</v>
      </c>
    </row>
    <row r="5" spans="1:7" x14ac:dyDescent="0.2">
      <c r="A5" s="6">
        <v>2</v>
      </c>
      <c r="B5" s="45" t="s">
        <v>0</v>
      </c>
      <c r="C5" s="45" t="s">
        <v>0</v>
      </c>
      <c r="D5" s="48" t="s">
        <v>100</v>
      </c>
      <c r="E5" s="45" t="s">
        <v>0</v>
      </c>
      <c r="F5" s="45" t="s">
        <v>0</v>
      </c>
      <c r="G5" s="45" t="s">
        <v>0</v>
      </c>
    </row>
    <row r="6" spans="1:7" x14ac:dyDescent="0.2">
      <c r="A6" s="6">
        <v>3</v>
      </c>
      <c r="B6" s="45" t="s">
        <v>0</v>
      </c>
      <c r="C6" s="45" t="s">
        <v>0</v>
      </c>
      <c r="D6" s="45" t="s">
        <v>0</v>
      </c>
      <c r="E6" s="45" t="s">
        <v>0</v>
      </c>
      <c r="F6" s="45" t="s">
        <v>0</v>
      </c>
      <c r="G6" s="45" t="s">
        <v>0</v>
      </c>
    </row>
    <row r="7" spans="1:7" x14ac:dyDescent="0.2">
      <c r="A7" s="6">
        <v>4</v>
      </c>
      <c r="B7" s="45" t="s">
        <v>0</v>
      </c>
      <c r="C7" s="45" t="s">
        <v>0</v>
      </c>
      <c r="D7" s="46" t="s">
        <v>25</v>
      </c>
      <c r="E7" s="45" t="s">
        <v>0</v>
      </c>
      <c r="F7" s="45" t="s">
        <v>0</v>
      </c>
      <c r="G7" s="46" t="s">
        <v>25</v>
      </c>
    </row>
    <row r="8" spans="1:7" x14ac:dyDescent="0.2">
      <c r="A8" s="6">
        <v>5</v>
      </c>
      <c r="B8" s="45" t="s">
        <v>0</v>
      </c>
      <c r="C8" s="45" t="s">
        <v>0</v>
      </c>
      <c r="D8" s="45" t="s">
        <v>0</v>
      </c>
      <c r="E8" s="45" t="s">
        <v>0</v>
      </c>
      <c r="F8" s="45" t="s">
        <v>0</v>
      </c>
      <c r="G8" s="45" t="s">
        <v>0</v>
      </c>
    </row>
    <row r="9" spans="1:7" x14ac:dyDescent="0.2">
      <c r="A9" s="6">
        <v>6</v>
      </c>
      <c r="B9" s="53"/>
      <c r="C9" s="53"/>
      <c r="D9" s="53"/>
      <c r="E9" s="53" t="s">
        <v>0</v>
      </c>
      <c r="F9" s="53" t="s">
        <v>0</v>
      </c>
      <c r="G9" s="53" t="s">
        <v>35</v>
      </c>
    </row>
    <row r="10" spans="1:7" x14ac:dyDescent="0.2">
      <c r="A10" s="6">
        <v>7</v>
      </c>
      <c r="B10" s="45" t="s">
        <v>0</v>
      </c>
      <c r="C10" s="45" t="s">
        <v>0</v>
      </c>
      <c r="D10" s="46" t="s">
        <v>25</v>
      </c>
      <c r="E10" s="46" t="s">
        <v>35</v>
      </c>
      <c r="F10" s="46" t="s">
        <v>35</v>
      </c>
      <c r="G10" s="46" t="s">
        <v>35</v>
      </c>
    </row>
    <row r="11" spans="1:7" x14ac:dyDescent="0.2">
      <c r="A11" s="6">
        <v>8</v>
      </c>
      <c r="B11" s="53" t="s">
        <v>95</v>
      </c>
      <c r="C11" s="53"/>
      <c r="D11" s="53"/>
      <c r="E11" s="53" t="s">
        <v>37</v>
      </c>
      <c r="F11" s="53" t="s">
        <v>0</v>
      </c>
      <c r="G11" s="53" t="s">
        <v>36</v>
      </c>
    </row>
    <row r="12" spans="1:7" x14ac:dyDescent="0.2">
      <c r="A12" s="6">
        <v>9</v>
      </c>
      <c r="B12" s="45" t="s">
        <v>0</v>
      </c>
      <c r="C12" s="45" t="s">
        <v>0</v>
      </c>
      <c r="D12" s="45" t="s">
        <v>0</v>
      </c>
      <c r="E12" s="45" t="s">
        <v>0</v>
      </c>
      <c r="F12" s="45" t="s">
        <v>0</v>
      </c>
      <c r="G12" s="45" t="s">
        <v>0</v>
      </c>
    </row>
    <row r="13" spans="1:7" x14ac:dyDescent="0.2">
      <c r="A13" s="6">
        <v>10</v>
      </c>
      <c r="B13" s="45" t="s">
        <v>0</v>
      </c>
      <c r="C13" s="48" t="s">
        <v>99</v>
      </c>
      <c r="D13" s="45" t="s">
        <v>0</v>
      </c>
      <c r="E13" s="45" t="s">
        <v>0</v>
      </c>
      <c r="F13" s="45" t="s">
        <v>0</v>
      </c>
      <c r="G13" s="45" t="s">
        <v>0</v>
      </c>
    </row>
    <row r="14" spans="1:7" x14ac:dyDescent="0.2">
      <c r="A14" s="6">
        <v>11</v>
      </c>
      <c r="B14" s="45" t="s">
        <v>0</v>
      </c>
      <c r="C14" s="46" t="s">
        <v>98</v>
      </c>
      <c r="D14" s="45" t="s">
        <v>0</v>
      </c>
      <c r="E14" s="45" t="s">
        <v>0</v>
      </c>
      <c r="F14" s="45" t="s">
        <v>0</v>
      </c>
      <c r="G14" s="45" t="s">
        <v>0</v>
      </c>
    </row>
    <row r="15" spans="1:7" x14ac:dyDescent="0.2">
      <c r="A15" s="6">
        <v>12</v>
      </c>
      <c r="B15" s="45" t="s">
        <v>0</v>
      </c>
      <c r="C15" s="45" t="s">
        <v>0</v>
      </c>
      <c r="D15" s="45" t="s">
        <v>0</v>
      </c>
      <c r="E15" s="46" t="s">
        <v>38</v>
      </c>
      <c r="F15" s="45" t="s">
        <v>0</v>
      </c>
      <c r="G15" s="45" t="s">
        <v>0</v>
      </c>
    </row>
    <row r="16" spans="1:7" x14ac:dyDescent="0.2">
      <c r="A16" s="6">
        <v>13</v>
      </c>
      <c r="B16" s="46" t="s">
        <v>101</v>
      </c>
      <c r="C16" s="56" t="s">
        <v>102</v>
      </c>
      <c r="D16" s="46" t="s">
        <v>103</v>
      </c>
      <c r="E16" s="46" t="s">
        <v>38</v>
      </c>
      <c r="F16" s="46" t="s">
        <v>39</v>
      </c>
      <c r="G16" s="45" t="s">
        <v>0</v>
      </c>
    </row>
    <row r="17" spans="1:7" x14ac:dyDescent="0.2">
      <c r="A17" s="6">
        <v>14</v>
      </c>
      <c r="B17" s="53" t="s">
        <v>104</v>
      </c>
      <c r="C17" s="53" t="s">
        <v>0</v>
      </c>
      <c r="D17" s="53" t="s">
        <v>5</v>
      </c>
      <c r="E17" s="53" t="s">
        <v>35</v>
      </c>
      <c r="F17" s="53" t="s">
        <v>35</v>
      </c>
      <c r="G17" s="53" t="s">
        <v>35</v>
      </c>
    </row>
    <row r="18" spans="1:7" x14ac:dyDescent="0.2">
      <c r="A18" s="6">
        <v>15</v>
      </c>
      <c r="B18" s="53" t="s">
        <v>95</v>
      </c>
      <c r="C18" s="53"/>
      <c r="D18" s="53"/>
      <c r="E18" s="53" t="s">
        <v>5</v>
      </c>
      <c r="F18" s="53" t="s">
        <v>40</v>
      </c>
      <c r="G18" s="53" t="s">
        <v>35</v>
      </c>
    </row>
    <row r="19" spans="1:7" x14ac:dyDescent="0.2">
      <c r="A19" s="6">
        <v>16</v>
      </c>
      <c r="B19" s="45" t="s">
        <v>0</v>
      </c>
      <c r="C19" s="45" t="s">
        <v>0</v>
      </c>
      <c r="D19" s="45" t="s">
        <v>0</v>
      </c>
      <c r="E19" s="45" t="s">
        <v>0</v>
      </c>
      <c r="F19" s="48" t="s">
        <v>42</v>
      </c>
      <c r="G19" s="45" t="s">
        <v>0</v>
      </c>
    </row>
    <row r="20" spans="1:7" x14ac:dyDescent="0.2">
      <c r="A20" s="6">
        <v>17</v>
      </c>
      <c r="B20" s="45" t="s">
        <v>0</v>
      </c>
      <c r="C20" s="45" t="s">
        <v>0</v>
      </c>
      <c r="D20" s="45" t="s">
        <v>0</v>
      </c>
      <c r="E20" s="48" t="s">
        <v>49</v>
      </c>
      <c r="F20" s="48" t="s">
        <v>49</v>
      </c>
      <c r="G20" s="48" t="s">
        <v>49</v>
      </c>
    </row>
    <row r="21" spans="1:7" x14ac:dyDescent="0.2">
      <c r="A21" s="6">
        <v>18</v>
      </c>
      <c r="B21" s="45" t="s">
        <v>0</v>
      </c>
      <c r="C21" s="45" t="s">
        <v>0</v>
      </c>
      <c r="D21" s="45" t="s">
        <v>0</v>
      </c>
      <c r="E21" s="45" t="s">
        <v>0</v>
      </c>
      <c r="F21" s="45" t="s">
        <v>0</v>
      </c>
      <c r="G21" s="46" t="s">
        <v>43</v>
      </c>
    </row>
    <row r="22" spans="1:7" x14ac:dyDescent="0.2">
      <c r="A22" s="6">
        <v>19</v>
      </c>
      <c r="B22" s="45" t="s">
        <v>0</v>
      </c>
      <c r="C22" s="45" t="s">
        <v>0</v>
      </c>
      <c r="D22" s="53"/>
      <c r="E22" s="46" t="s">
        <v>38</v>
      </c>
      <c r="F22" s="48" t="s">
        <v>44</v>
      </c>
      <c r="G22" s="47" t="s">
        <v>25</v>
      </c>
    </row>
    <row r="23" spans="1:7" x14ac:dyDescent="0.2">
      <c r="A23" s="6">
        <v>20</v>
      </c>
      <c r="B23" s="45" t="s">
        <v>0</v>
      </c>
      <c r="C23" s="45" t="s">
        <v>0</v>
      </c>
      <c r="D23" s="46" t="s">
        <v>25</v>
      </c>
      <c r="E23" s="46" t="s">
        <v>45</v>
      </c>
      <c r="F23" s="45" t="s">
        <v>0</v>
      </c>
      <c r="G23" s="45" t="s">
        <v>0</v>
      </c>
    </row>
    <row r="24" spans="1:7" x14ac:dyDescent="0.2">
      <c r="A24" s="6">
        <v>21</v>
      </c>
      <c r="B24" s="48" t="s">
        <v>95</v>
      </c>
      <c r="C24" s="45" t="s">
        <v>0</v>
      </c>
      <c r="D24" s="45" t="s">
        <v>0</v>
      </c>
      <c r="E24" s="46" t="s">
        <v>38</v>
      </c>
      <c r="F24" s="45" t="s">
        <v>0</v>
      </c>
      <c r="G24" s="45" t="s">
        <v>0</v>
      </c>
    </row>
    <row r="25" spans="1:7" x14ac:dyDescent="0.2">
      <c r="A25" s="6">
        <v>22</v>
      </c>
      <c r="B25" s="46" t="s">
        <v>38</v>
      </c>
      <c r="C25" s="45" t="s">
        <v>0</v>
      </c>
      <c r="D25" s="48" t="s">
        <v>96</v>
      </c>
      <c r="E25" s="46" t="s">
        <v>38</v>
      </c>
      <c r="F25" s="48" t="s">
        <v>44</v>
      </c>
      <c r="G25" s="45" t="s">
        <v>0</v>
      </c>
    </row>
    <row r="26" spans="1:7" x14ac:dyDescent="0.2">
      <c r="A26" s="6">
        <v>23</v>
      </c>
      <c r="B26" s="45" t="s">
        <v>0</v>
      </c>
      <c r="C26" s="46" t="s">
        <v>98</v>
      </c>
      <c r="D26" s="46" t="s">
        <v>25</v>
      </c>
      <c r="E26" s="45" t="s">
        <v>46</v>
      </c>
      <c r="F26" s="46" t="s">
        <v>39</v>
      </c>
      <c r="G26" s="45" t="s">
        <v>0</v>
      </c>
    </row>
    <row r="27" spans="1:7" x14ac:dyDescent="0.2">
      <c r="A27" s="6">
        <v>24</v>
      </c>
      <c r="B27" s="48" t="s">
        <v>95</v>
      </c>
      <c r="C27" s="48" t="s">
        <v>95</v>
      </c>
      <c r="D27" s="45" t="s">
        <v>0</v>
      </c>
      <c r="E27" s="48" t="s">
        <v>47</v>
      </c>
      <c r="F27" s="48" t="s">
        <v>48</v>
      </c>
      <c r="G27" s="45" t="s">
        <v>0</v>
      </c>
    </row>
    <row r="28" spans="1:7" x14ac:dyDescent="0.2">
      <c r="A28" s="6">
        <v>25</v>
      </c>
      <c r="B28" s="48" t="s">
        <v>95</v>
      </c>
      <c r="C28" s="45" t="s">
        <v>0</v>
      </c>
      <c r="D28" s="46" t="s">
        <v>25</v>
      </c>
      <c r="E28" s="46" t="s">
        <v>38</v>
      </c>
      <c r="F28" s="45" t="s">
        <v>0</v>
      </c>
      <c r="G28" s="46" t="s">
        <v>25</v>
      </c>
    </row>
    <row r="29" spans="1:7" x14ac:dyDescent="0.2">
      <c r="A29" s="8">
        <v>26</v>
      </c>
      <c r="B29" s="46" t="s">
        <v>38</v>
      </c>
      <c r="C29" s="45" t="s">
        <v>0</v>
      </c>
      <c r="D29" s="46" t="s">
        <v>25</v>
      </c>
      <c r="E29" s="46" t="s">
        <v>38</v>
      </c>
      <c r="F29" s="45" t="s">
        <v>0</v>
      </c>
      <c r="G29" s="45" t="s">
        <v>0</v>
      </c>
    </row>
    <row r="30" spans="1:7" x14ac:dyDescent="0.2">
      <c r="A30" s="4"/>
      <c r="B30" s="2"/>
      <c r="C30" s="2"/>
      <c r="D30" s="2"/>
      <c r="E30" s="4"/>
      <c r="F30" s="4"/>
      <c r="G30" s="2"/>
    </row>
    <row r="31" spans="1:7" x14ac:dyDescent="0.2">
      <c r="A31" s="68" t="s">
        <v>13</v>
      </c>
      <c r="B31" s="69"/>
      <c r="C31" s="69"/>
      <c r="D31" s="69"/>
      <c r="E31"/>
      <c r="F31"/>
      <c r="G31"/>
    </row>
    <row r="32" spans="1:7" s="19" customFormat="1" x14ac:dyDescent="0.2">
      <c r="A32" s="18"/>
      <c r="B32" s="65" t="s">
        <v>57</v>
      </c>
      <c r="C32" s="66"/>
      <c r="D32" s="67"/>
      <c r="E32" s="64" t="s">
        <v>33</v>
      </c>
      <c r="F32" s="64"/>
      <c r="G32" s="64"/>
    </row>
    <row r="33" spans="1:7" x14ac:dyDescent="0.2">
      <c r="A33" s="9" t="s">
        <v>14</v>
      </c>
      <c r="B33" s="9">
        <v>15</v>
      </c>
      <c r="C33" s="9">
        <v>16</v>
      </c>
      <c r="D33" s="9">
        <v>12</v>
      </c>
      <c r="E33" s="9">
        <v>11</v>
      </c>
      <c r="F33" s="9">
        <v>13</v>
      </c>
      <c r="G33" s="9">
        <v>16</v>
      </c>
    </row>
    <row r="34" spans="1:7" x14ac:dyDescent="0.2">
      <c r="A34" s="10" t="s">
        <v>22</v>
      </c>
      <c r="B34" s="10">
        <v>4</v>
      </c>
      <c r="C34" s="10">
        <v>4</v>
      </c>
      <c r="D34" s="10">
        <v>7</v>
      </c>
      <c r="E34" s="10">
        <v>9</v>
      </c>
      <c r="F34" s="10">
        <v>4</v>
      </c>
      <c r="G34" s="10">
        <v>4</v>
      </c>
    </row>
    <row r="35" spans="1:7" x14ac:dyDescent="0.2">
      <c r="A35" s="11" t="s">
        <v>15</v>
      </c>
      <c r="B35" s="11">
        <v>3</v>
      </c>
      <c r="C35" s="11">
        <v>1</v>
      </c>
      <c r="D35" s="11">
        <v>2</v>
      </c>
      <c r="E35" s="11">
        <v>2</v>
      </c>
      <c r="F35" s="11">
        <v>5</v>
      </c>
      <c r="G35" s="11">
        <v>1</v>
      </c>
    </row>
    <row r="36" spans="1:7" x14ac:dyDescent="0.2">
      <c r="A36" s="14" t="s">
        <v>16</v>
      </c>
      <c r="B36" s="16">
        <v>4</v>
      </c>
      <c r="C36" s="21">
        <v>4</v>
      </c>
      <c r="D36" s="21">
        <v>5</v>
      </c>
      <c r="E36" s="16">
        <v>4</v>
      </c>
      <c r="F36" s="21">
        <v>4</v>
      </c>
      <c r="G36" s="21">
        <v>5</v>
      </c>
    </row>
    <row r="37" spans="1:7" x14ac:dyDescent="0.2">
      <c r="A37" s="15" t="s">
        <v>17</v>
      </c>
      <c r="B37" s="17">
        <f t="shared" ref="B37:D37" si="0">SUM(B33:B35)</f>
        <v>22</v>
      </c>
      <c r="C37" s="17">
        <f t="shared" si="0"/>
        <v>21</v>
      </c>
      <c r="D37" s="17">
        <f t="shared" si="0"/>
        <v>21</v>
      </c>
      <c r="E37" s="17">
        <f t="shared" ref="E37:G37" si="1">SUM(E33:E35)</f>
        <v>22</v>
      </c>
      <c r="F37" s="17">
        <f t="shared" si="1"/>
        <v>22</v>
      </c>
      <c r="G37" s="17">
        <f t="shared" si="1"/>
        <v>21</v>
      </c>
    </row>
    <row r="38" spans="1:7" s="32" customFormat="1" x14ac:dyDescent="0.2">
      <c r="A38" s="31" t="s">
        <v>23</v>
      </c>
      <c r="B38" s="74">
        <f>SUM(B33:D33)/SUM(B37:D37)</f>
        <v>0.671875</v>
      </c>
      <c r="C38" s="74"/>
      <c r="D38" s="74"/>
      <c r="E38" s="74">
        <f>SUM(E33:G33)/SUM(E37:G37)</f>
        <v>0.61538461538461542</v>
      </c>
      <c r="F38" s="74"/>
      <c r="G38" s="74"/>
    </row>
    <row r="39" spans="1:7" s="32" customFormat="1" x14ac:dyDescent="0.2">
      <c r="A39" s="33" t="s">
        <v>24</v>
      </c>
      <c r="B39" s="75">
        <f>SUM(B33,C33,D33,D34,C34,B34)/SUM(B37,C37,D37)</f>
        <v>0.90625</v>
      </c>
      <c r="C39" s="75"/>
      <c r="D39" s="75"/>
      <c r="E39" s="75">
        <f>SUM(E33,F33,G33,G34,F34,E34)/SUM(E37,F37,G37)</f>
        <v>0.87692307692307692</v>
      </c>
      <c r="F39" s="75"/>
      <c r="G39" s="75"/>
    </row>
    <row r="40" spans="1:7" x14ac:dyDescent="0.2">
      <c r="B40" s="30"/>
      <c r="C40" s="30"/>
      <c r="D40" s="30"/>
      <c r="E40" s="30"/>
      <c r="F40" s="30"/>
      <c r="G40" s="30"/>
    </row>
    <row r="41" spans="1:7" x14ac:dyDescent="0.2">
      <c r="A41" s="73"/>
      <c r="B41" s="73"/>
      <c r="E41"/>
      <c r="F41"/>
      <c r="G41"/>
    </row>
    <row r="42" spans="1:7" x14ac:dyDescent="0.2">
      <c r="A42" s="73" t="s">
        <v>41</v>
      </c>
      <c r="B42" s="73"/>
      <c r="E42"/>
      <c r="F42"/>
      <c r="G42"/>
    </row>
    <row r="43" spans="1:7" x14ac:dyDescent="0.2">
      <c r="A43" s="4"/>
      <c r="B43" s="2"/>
      <c r="E43" s="4"/>
      <c r="F43" s="4"/>
      <c r="G43" s="4"/>
    </row>
    <row r="44" spans="1:7" x14ac:dyDescent="0.2">
      <c r="A44" s="4"/>
      <c r="B44" s="2"/>
      <c r="E44" s="4"/>
      <c r="F44" s="4"/>
      <c r="G44" s="4"/>
    </row>
    <row r="45" spans="1:7" ht="15" customHeight="1" x14ac:dyDescent="0.2">
      <c r="A45" s="4"/>
      <c r="E45" s="4"/>
      <c r="F45" s="4"/>
      <c r="G45" s="4"/>
    </row>
    <row r="46" spans="1:7" s="22" customFormat="1" x14ac:dyDescent="0.2"/>
    <row r="47" spans="1:7" s="23" customFormat="1" x14ac:dyDescent="0.2"/>
  </sheetData>
  <mergeCells count="13">
    <mergeCell ref="A42:B42"/>
    <mergeCell ref="A41:B41"/>
    <mergeCell ref="B38:D38"/>
    <mergeCell ref="B39:D39"/>
    <mergeCell ref="E32:G32"/>
    <mergeCell ref="E38:G38"/>
    <mergeCell ref="E39:G39"/>
    <mergeCell ref="A1:A3"/>
    <mergeCell ref="B2:D2"/>
    <mergeCell ref="E2:G2"/>
    <mergeCell ref="B32:D32"/>
    <mergeCell ref="A31:D31"/>
    <mergeCell ref="B1:G1"/>
  </mergeCell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ACEB2-C3D8-D545-89AD-0002029F9000}">
  <sheetPr>
    <pageSetUpPr fitToPage="1"/>
  </sheetPr>
  <dimension ref="A1:G42"/>
  <sheetViews>
    <sheetView zoomScale="150" zoomScaleNormal="150" workbookViewId="0">
      <selection activeCell="S22" sqref="S22"/>
    </sheetView>
  </sheetViews>
  <sheetFormatPr baseColWidth="10" defaultRowHeight="16" x14ac:dyDescent="0.2"/>
  <cols>
    <col min="1" max="1" width="11.6640625" style="1" customWidth="1"/>
    <col min="2" max="7" width="15.83203125" style="1" customWidth="1"/>
  </cols>
  <sheetData>
    <row r="1" spans="1:7" x14ac:dyDescent="0.2">
      <c r="A1" s="61" t="s">
        <v>1</v>
      </c>
      <c r="B1" s="72" t="s">
        <v>4</v>
      </c>
      <c r="C1" s="78"/>
      <c r="D1" s="78"/>
      <c r="E1" s="78"/>
      <c r="F1" s="78"/>
      <c r="G1" s="78"/>
    </row>
    <row r="2" spans="1:7" s="19" customFormat="1" x14ac:dyDescent="0.2">
      <c r="A2" s="62"/>
      <c r="B2" s="64" t="s">
        <v>33</v>
      </c>
      <c r="C2" s="64"/>
      <c r="D2" s="64"/>
      <c r="E2" s="64" t="s">
        <v>57</v>
      </c>
      <c r="F2" s="64"/>
      <c r="G2" s="64"/>
    </row>
    <row r="3" spans="1:7" x14ac:dyDescent="0.2">
      <c r="A3" s="62"/>
      <c r="B3" s="5" t="s">
        <v>11</v>
      </c>
      <c r="C3" s="5" t="s">
        <v>10</v>
      </c>
      <c r="D3" s="5" t="s">
        <v>12</v>
      </c>
      <c r="E3" s="5" t="s">
        <v>11</v>
      </c>
      <c r="F3" s="5" t="s">
        <v>10</v>
      </c>
      <c r="G3" s="5" t="s">
        <v>12</v>
      </c>
    </row>
    <row r="4" spans="1:7" x14ac:dyDescent="0.2">
      <c r="A4" s="7">
        <v>1</v>
      </c>
      <c r="B4" s="45" t="s">
        <v>0</v>
      </c>
      <c r="C4" s="45" t="s">
        <v>0</v>
      </c>
      <c r="D4" s="46" t="s">
        <v>25</v>
      </c>
      <c r="E4" s="45" t="s">
        <v>0</v>
      </c>
      <c r="F4" s="45" t="s">
        <v>0</v>
      </c>
      <c r="G4" s="46" t="s">
        <v>25</v>
      </c>
    </row>
    <row r="5" spans="1:7" x14ac:dyDescent="0.2">
      <c r="A5" s="6">
        <v>2</v>
      </c>
      <c r="B5" s="46" t="s">
        <v>66</v>
      </c>
      <c r="C5" s="46" t="s">
        <v>66</v>
      </c>
      <c r="D5" s="46" t="s">
        <v>66</v>
      </c>
      <c r="E5" s="48" t="s">
        <v>28</v>
      </c>
      <c r="F5" s="48" t="s">
        <v>28</v>
      </c>
      <c r="G5" s="48" t="s">
        <v>28</v>
      </c>
    </row>
    <row r="6" spans="1:7" x14ac:dyDescent="0.2">
      <c r="A6" s="6">
        <v>3</v>
      </c>
      <c r="B6" s="45" t="s">
        <v>0</v>
      </c>
      <c r="C6" s="45" t="s">
        <v>0</v>
      </c>
      <c r="D6" s="46" t="s">
        <v>25</v>
      </c>
      <c r="E6" s="46" t="s">
        <v>107</v>
      </c>
      <c r="F6" s="46" t="s">
        <v>107</v>
      </c>
      <c r="G6" s="46" t="s">
        <v>107</v>
      </c>
    </row>
    <row r="7" spans="1:7" x14ac:dyDescent="0.2">
      <c r="A7" s="6">
        <v>4</v>
      </c>
      <c r="B7" s="45" t="s">
        <v>0</v>
      </c>
      <c r="C7" s="45" t="s">
        <v>0</v>
      </c>
      <c r="D7" s="46" t="s">
        <v>25</v>
      </c>
      <c r="E7" s="45" t="s">
        <v>0</v>
      </c>
      <c r="F7" s="45" t="s">
        <v>0</v>
      </c>
      <c r="G7" s="45" t="s">
        <v>0</v>
      </c>
    </row>
    <row r="8" spans="1:7" x14ac:dyDescent="0.2">
      <c r="A8" s="6">
        <v>5</v>
      </c>
      <c r="B8" s="46" t="s">
        <v>66</v>
      </c>
      <c r="C8" s="46" t="s">
        <v>66</v>
      </c>
      <c r="D8" s="46" t="s">
        <v>66</v>
      </c>
      <c r="E8" s="48" t="s">
        <v>28</v>
      </c>
      <c r="F8" s="48" t="s">
        <v>28</v>
      </c>
      <c r="G8" s="48" t="s">
        <v>28</v>
      </c>
    </row>
    <row r="9" spans="1:7" x14ac:dyDescent="0.2">
      <c r="A9" s="6">
        <v>6</v>
      </c>
      <c r="B9" s="45" t="s">
        <v>0</v>
      </c>
      <c r="C9" s="45" t="s">
        <v>0</v>
      </c>
      <c r="D9" s="45" t="s">
        <v>0</v>
      </c>
      <c r="E9" s="45" t="s">
        <v>0</v>
      </c>
      <c r="F9" s="45" t="s">
        <v>0</v>
      </c>
      <c r="G9" s="45" t="s">
        <v>0</v>
      </c>
    </row>
    <row r="10" spans="1:7" x14ac:dyDescent="0.2">
      <c r="A10" s="6">
        <v>7</v>
      </c>
      <c r="B10" s="45" t="s">
        <v>0</v>
      </c>
      <c r="C10" s="45" t="s">
        <v>0</v>
      </c>
      <c r="D10" s="45" t="s">
        <v>0</v>
      </c>
      <c r="E10" s="45" t="s">
        <v>0</v>
      </c>
      <c r="F10" s="45" t="s">
        <v>0</v>
      </c>
      <c r="G10" s="45" t="s">
        <v>0</v>
      </c>
    </row>
    <row r="11" spans="1:7" x14ac:dyDescent="0.2">
      <c r="A11" s="6">
        <v>8</v>
      </c>
      <c r="B11" s="45" t="s">
        <v>0</v>
      </c>
      <c r="C11" s="46" t="s">
        <v>108</v>
      </c>
      <c r="D11" s="46" t="s">
        <v>109</v>
      </c>
      <c r="E11" s="45" t="s">
        <v>0</v>
      </c>
      <c r="F11" s="45" t="s">
        <v>0</v>
      </c>
      <c r="G11" s="45" t="s">
        <v>0</v>
      </c>
    </row>
    <row r="12" spans="1:7" x14ac:dyDescent="0.2">
      <c r="A12" s="6">
        <v>9</v>
      </c>
      <c r="B12" s="45" t="s">
        <v>0</v>
      </c>
      <c r="C12" s="45" t="s">
        <v>0</v>
      </c>
      <c r="D12" s="45" t="s">
        <v>0</v>
      </c>
      <c r="E12" s="45" t="s">
        <v>0</v>
      </c>
      <c r="F12" s="45" t="s">
        <v>0</v>
      </c>
      <c r="G12" s="45" t="s">
        <v>0</v>
      </c>
    </row>
    <row r="13" spans="1:7" x14ac:dyDescent="0.2">
      <c r="A13" s="6">
        <v>10</v>
      </c>
      <c r="B13" s="48" t="s">
        <v>110</v>
      </c>
      <c r="C13" s="48" t="s">
        <v>110</v>
      </c>
      <c r="D13" s="48" t="s">
        <v>110</v>
      </c>
      <c r="E13" s="45" t="s">
        <v>0</v>
      </c>
      <c r="F13" s="45" t="s">
        <v>0</v>
      </c>
      <c r="G13" s="45" t="s">
        <v>0</v>
      </c>
    </row>
    <row r="14" spans="1:7" x14ac:dyDescent="0.2">
      <c r="A14" s="6">
        <v>11</v>
      </c>
      <c r="B14" s="48" t="s">
        <v>28</v>
      </c>
      <c r="C14" s="48" t="s">
        <v>28</v>
      </c>
      <c r="D14" s="48" t="s">
        <v>28</v>
      </c>
      <c r="E14" s="45" t="s">
        <v>0</v>
      </c>
      <c r="F14" s="45" t="s">
        <v>0</v>
      </c>
      <c r="G14" s="45" t="s">
        <v>0</v>
      </c>
    </row>
    <row r="15" spans="1:7" x14ac:dyDescent="0.2">
      <c r="A15" s="6">
        <v>12</v>
      </c>
      <c r="B15" s="45" t="s">
        <v>0</v>
      </c>
      <c r="C15" s="45" t="s">
        <v>0</v>
      </c>
      <c r="D15" s="45" t="s">
        <v>0</v>
      </c>
      <c r="E15" s="45" t="s">
        <v>0</v>
      </c>
      <c r="F15" s="45" t="s">
        <v>0</v>
      </c>
      <c r="G15" s="46" t="s">
        <v>25</v>
      </c>
    </row>
    <row r="16" spans="1:7" x14ac:dyDescent="0.2">
      <c r="A16" s="6">
        <v>13</v>
      </c>
      <c r="B16" s="45" t="s">
        <v>0</v>
      </c>
      <c r="C16" s="45" t="s">
        <v>0</v>
      </c>
      <c r="D16" s="45" t="s">
        <v>0</v>
      </c>
      <c r="E16" s="46" t="s">
        <v>111</v>
      </c>
      <c r="F16" s="45" t="s">
        <v>0</v>
      </c>
      <c r="G16" s="45" t="s">
        <v>0</v>
      </c>
    </row>
    <row r="17" spans="1:7" x14ac:dyDescent="0.2">
      <c r="A17" s="6">
        <v>14</v>
      </c>
      <c r="B17" s="45" t="s">
        <v>0</v>
      </c>
      <c r="C17" s="45" t="s">
        <v>0</v>
      </c>
      <c r="D17" s="45" t="s">
        <v>0</v>
      </c>
      <c r="E17" s="46" t="s">
        <v>112</v>
      </c>
      <c r="F17" s="46" t="s">
        <v>112</v>
      </c>
      <c r="G17" s="46" t="s">
        <v>112</v>
      </c>
    </row>
    <row r="18" spans="1:7" x14ac:dyDescent="0.2">
      <c r="A18" s="6">
        <v>15</v>
      </c>
      <c r="B18" s="45" t="s">
        <v>0</v>
      </c>
      <c r="C18" s="45" t="s">
        <v>0</v>
      </c>
      <c r="D18" s="45" t="s">
        <v>0</v>
      </c>
      <c r="E18" s="45" t="s">
        <v>113</v>
      </c>
      <c r="F18" s="45" t="s">
        <v>0</v>
      </c>
      <c r="G18" s="45" t="s">
        <v>0</v>
      </c>
    </row>
    <row r="19" spans="1:7" x14ac:dyDescent="0.2">
      <c r="A19" s="6">
        <v>16</v>
      </c>
      <c r="B19" s="46" t="s">
        <v>114</v>
      </c>
      <c r="C19" s="45" t="s">
        <v>0</v>
      </c>
      <c r="D19" s="45" t="s">
        <v>0</v>
      </c>
      <c r="E19" s="46" t="s">
        <v>112</v>
      </c>
      <c r="F19" s="46" t="s">
        <v>112</v>
      </c>
      <c r="G19" s="46" t="s">
        <v>112</v>
      </c>
    </row>
    <row r="20" spans="1:7" x14ac:dyDescent="0.2">
      <c r="A20" s="6">
        <v>17</v>
      </c>
      <c r="B20" s="48" t="s">
        <v>115</v>
      </c>
      <c r="C20" s="48" t="s">
        <v>115</v>
      </c>
      <c r="D20" s="48" t="s">
        <v>115</v>
      </c>
      <c r="E20" s="45" t="s">
        <v>0</v>
      </c>
      <c r="F20" s="45" t="s">
        <v>0</v>
      </c>
      <c r="G20" s="46" t="s">
        <v>25</v>
      </c>
    </row>
    <row r="21" spans="1:7" x14ac:dyDescent="0.2">
      <c r="A21" s="6">
        <v>18</v>
      </c>
      <c r="B21" s="45" t="s">
        <v>0</v>
      </c>
      <c r="C21" s="46" t="s">
        <v>116</v>
      </c>
      <c r="D21" s="45" t="s">
        <v>0</v>
      </c>
      <c r="E21" s="48" t="s">
        <v>110</v>
      </c>
      <c r="F21" s="48" t="s">
        <v>110</v>
      </c>
      <c r="G21" s="48" t="s">
        <v>110</v>
      </c>
    </row>
    <row r="22" spans="1:7" x14ac:dyDescent="0.2">
      <c r="A22" s="6">
        <v>19</v>
      </c>
      <c r="B22" s="45" t="s">
        <v>0</v>
      </c>
      <c r="C22" s="45" t="s">
        <v>0</v>
      </c>
      <c r="D22" s="46" t="s">
        <v>25</v>
      </c>
      <c r="E22" s="45" t="s">
        <v>0</v>
      </c>
      <c r="F22" s="45" t="s">
        <v>0</v>
      </c>
      <c r="G22" s="45" t="s">
        <v>0</v>
      </c>
    </row>
    <row r="23" spans="1:7" x14ac:dyDescent="0.2">
      <c r="A23" s="6">
        <v>20</v>
      </c>
      <c r="B23" s="45" t="s">
        <v>0</v>
      </c>
      <c r="C23" s="45" t="s">
        <v>0</v>
      </c>
      <c r="D23" s="46" t="s">
        <v>25</v>
      </c>
      <c r="E23" s="46" t="s">
        <v>66</v>
      </c>
      <c r="F23" s="46" t="s">
        <v>66</v>
      </c>
      <c r="G23" s="46" t="s">
        <v>66</v>
      </c>
    </row>
    <row r="24" spans="1:7" x14ac:dyDescent="0.2">
      <c r="A24" s="6">
        <v>21</v>
      </c>
      <c r="B24" s="45" t="s">
        <v>118</v>
      </c>
      <c r="C24" s="45" t="s">
        <v>0</v>
      </c>
      <c r="D24" s="45" t="s">
        <v>0</v>
      </c>
      <c r="E24" s="46" t="s">
        <v>117</v>
      </c>
      <c r="F24" s="46" t="s">
        <v>116</v>
      </c>
      <c r="G24" s="46" t="s">
        <v>107</v>
      </c>
    </row>
    <row r="25" spans="1:7" x14ac:dyDescent="0.2">
      <c r="A25" s="6">
        <v>22</v>
      </c>
      <c r="B25" s="48" t="s">
        <v>28</v>
      </c>
      <c r="C25" s="48" t="s">
        <v>28</v>
      </c>
      <c r="D25" s="48" t="s">
        <v>28</v>
      </c>
      <c r="E25" s="45" t="s">
        <v>0</v>
      </c>
      <c r="F25" s="45" t="s">
        <v>0</v>
      </c>
      <c r="G25" s="45" t="s">
        <v>0</v>
      </c>
    </row>
    <row r="26" spans="1:7" x14ac:dyDescent="0.2">
      <c r="A26" s="6">
        <v>23</v>
      </c>
      <c r="B26" s="45" t="s">
        <v>0</v>
      </c>
      <c r="C26" s="45" t="s">
        <v>0</v>
      </c>
      <c r="D26" s="46" t="s">
        <v>25</v>
      </c>
      <c r="E26" s="45" t="s">
        <v>0</v>
      </c>
      <c r="F26" s="45" t="s">
        <v>0</v>
      </c>
      <c r="G26" s="45" t="s">
        <v>0</v>
      </c>
    </row>
    <row r="27" spans="1:7" x14ac:dyDescent="0.2">
      <c r="A27" s="6">
        <v>24</v>
      </c>
      <c r="B27" s="46" t="s">
        <v>66</v>
      </c>
      <c r="C27" s="46" t="s">
        <v>66</v>
      </c>
      <c r="D27" s="46" t="s">
        <v>66</v>
      </c>
      <c r="E27" s="46" t="s">
        <v>107</v>
      </c>
      <c r="F27" s="46" t="s">
        <v>107</v>
      </c>
      <c r="G27" s="46" t="s">
        <v>107</v>
      </c>
    </row>
    <row r="28" spans="1:7" x14ac:dyDescent="0.2">
      <c r="A28" s="6">
        <v>25</v>
      </c>
      <c r="B28" s="45" t="s">
        <v>0</v>
      </c>
      <c r="C28" s="45" t="s">
        <v>0</v>
      </c>
      <c r="D28" s="45" t="s">
        <v>0</v>
      </c>
      <c r="E28" s="45" t="s">
        <v>0</v>
      </c>
      <c r="F28" s="45" t="s">
        <v>0</v>
      </c>
      <c r="G28" s="45" t="s">
        <v>0</v>
      </c>
    </row>
    <row r="29" spans="1:7" x14ac:dyDescent="0.2">
      <c r="A29" s="8">
        <v>26</v>
      </c>
      <c r="B29" s="45" t="s">
        <v>0</v>
      </c>
      <c r="C29" s="45" t="s">
        <v>0</v>
      </c>
      <c r="D29" s="45" t="s">
        <v>0</v>
      </c>
      <c r="E29" s="46" t="s">
        <v>112</v>
      </c>
      <c r="F29" s="46" t="s">
        <v>112</v>
      </c>
      <c r="G29" s="46" t="s">
        <v>112</v>
      </c>
    </row>
    <row r="30" spans="1:7" x14ac:dyDescent="0.2">
      <c r="A30" s="2"/>
      <c r="B30" s="2"/>
      <c r="C30" s="2"/>
      <c r="D30" s="2"/>
      <c r="E30" s="2"/>
      <c r="F30" s="2"/>
      <c r="G30" s="2"/>
    </row>
    <row r="31" spans="1:7" x14ac:dyDescent="0.2">
      <c r="A31" s="2"/>
      <c r="B31" s="2"/>
      <c r="C31" s="2"/>
      <c r="D31" s="2"/>
      <c r="E31" s="2"/>
      <c r="F31" s="2"/>
      <c r="G31" s="2"/>
    </row>
    <row r="32" spans="1:7" x14ac:dyDescent="0.2">
      <c r="A32" s="76" t="s">
        <v>13</v>
      </c>
      <c r="B32" s="77"/>
      <c r="C32" s="77"/>
      <c r="D32" s="77"/>
      <c r="E32" s="77"/>
      <c r="F32" s="77"/>
      <c r="G32" s="77"/>
    </row>
    <row r="33" spans="1:7" s="19" customFormat="1" x14ac:dyDescent="0.2">
      <c r="A33" s="18"/>
      <c r="B33" s="64" t="s">
        <v>33</v>
      </c>
      <c r="C33" s="64"/>
      <c r="D33" s="64"/>
      <c r="E33" s="64" t="s">
        <v>57</v>
      </c>
      <c r="F33" s="64"/>
      <c r="G33" s="64"/>
    </row>
    <row r="34" spans="1:7" x14ac:dyDescent="0.2">
      <c r="A34" s="9" t="s">
        <v>14</v>
      </c>
      <c r="B34" s="9">
        <v>18</v>
      </c>
      <c r="C34" s="9">
        <v>17</v>
      </c>
      <c r="D34" s="9">
        <v>12</v>
      </c>
      <c r="E34" s="9">
        <v>15</v>
      </c>
      <c r="F34" s="9">
        <v>16</v>
      </c>
      <c r="G34" s="9">
        <v>13</v>
      </c>
    </row>
    <row r="35" spans="1:7" x14ac:dyDescent="0.2">
      <c r="A35" s="10" t="s">
        <v>22</v>
      </c>
      <c r="B35" s="10">
        <v>4</v>
      </c>
      <c r="C35" s="10">
        <v>5</v>
      </c>
      <c r="D35" s="10">
        <v>10</v>
      </c>
      <c r="E35" s="10">
        <v>8</v>
      </c>
      <c r="F35" s="10">
        <v>7</v>
      </c>
      <c r="G35" s="10">
        <v>10</v>
      </c>
    </row>
    <row r="36" spans="1:7" x14ac:dyDescent="0.2">
      <c r="A36" s="11" t="s">
        <v>15</v>
      </c>
      <c r="B36" s="11">
        <v>4</v>
      </c>
      <c r="C36" s="11">
        <v>4</v>
      </c>
      <c r="D36" s="11">
        <v>4</v>
      </c>
      <c r="E36" s="11">
        <v>3</v>
      </c>
      <c r="F36" s="11">
        <v>3</v>
      </c>
      <c r="G36" s="11">
        <v>3</v>
      </c>
    </row>
    <row r="37" spans="1:7" x14ac:dyDescent="0.2">
      <c r="A37" s="14" t="s">
        <v>16</v>
      </c>
      <c r="B37" s="16">
        <v>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</row>
    <row r="38" spans="1:7" x14ac:dyDescent="0.2">
      <c r="A38" s="15" t="s">
        <v>17</v>
      </c>
      <c r="B38" s="17">
        <f t="shared" ref="B38:G38" si="0">SUM(B34:B37)</f>
        <v>26</v>
      </c>
      <c r="C38" s="17">
        <f t="shared" si="0"/>
        <v>26</v>
      </c>
      <c r="D38" s="17">
        <f t="shared" si="0"/>
        <v>26</v>
      </c>
      <c r="E38" s="17">
        <f t="shared" si="0"/>
        <v>26</v>
      </c>
      <c r="F38" s="17">
        <f t="shared" si="0"/>
        <v>26</v>
      </c>
      <c r="G38" s="17">
        <f t="shared" si="0"/>
        <v>26</v>
      </c>
    </row>
    <row r="41" spans="1:7" s="22" customFormat="1" x14ac:dyDescent="0.2">
      <c r="A41" s="31" t="s">
        <v>68</v>
      </c>
      <c r="B41" s="74">
        <f>SUM(B34,C34,D34)/SUM(B38:D38)</f>
        <v>0.60256410256410253</v>
      </c>
      <c r="C41" s="74"/>
      <c r="D41" s="74"/>
      <c r="E41" s="74">
        <f>SUM(E34,F34,G34)/SUM(E38:G38)</f>
        <v>0.5641025641025641</v>
      </c>
      <c r="F41" s="74"/>
      <c r="G41" s="74"/>
    </row>
    <row r="42" spans="1:7" s="23" customFormat="1" x14ac:dyDescent="0.2">
      <c r="A42" s="33" t="s">
        <v>69</v>
      </c>
      <c r="B42" s="75">
        <f>SUM(B34:D35)/SUM(B38:D38)</f>
        <v>0.84615384615384615</v>
      </c>
      <c r="C42" s="75"/>
      <c r="D42" s="75"/>
      <c r="E42" s="75">
        <f>SUM(E34:G35)/SUM(E38:G38)</f>
        <v>0.88461538461538458</v>
      </c>
      <c r="F42" s="75"/>
      <c r="G42" s="75"/>
    </row>
  </sheetData>
  <mergeCells count="11">
    <mergeCell ref="E42:G42"/>
    <mergeCell ref="E41:G41"/>
    <mergeCell ref="B42:D42"/>
    <mergeCell ref="B33:D33"/>
    <mergeCell ref="B41:D41"/>
    <mergeCell ref="E33:G33"/>
    <mergeCell ref="A32:G32"/>
    <mergeCell ref="A1:A3"/>
    <mergeCell ref="B1:G1"/>
    <mergeCell ref="B2:D2"/>
    <mergeCell ref="E2:G2"/>
  </mergeCells>
  <pageMargins left="0.25" right="0.25" top="0.75" bottom="0.75" header="0.3" footer="0.3"/>
  <pageSetup paperSize="9" scale="35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Remote Control</vt:lpstr>
      <vt:lpstr>Energy Saving</vt:lpstr>
      <vt:lpstr>Fixed Plans</vt:lpstr>
      <vt:lpstr>Auto Adapt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TU-Pseudonym 3122348072668270</dc:creator>
  <cp:lastModifiedBy>TU-Pseudonym 3122348072668270</cp:lastModifiedBy>
  <cp:lastPrinted>2024-09-19T14:42:16Z</cp:lastPrinted>
  <dcterms:created xsi:type="dcterms:W3CDTF">2024-08-12T14:41:16Z</dcterms:created>
  <dcterms:modified xsi:type="dcterms:W3CDTF">2025-01-21T17:06:38Z</dcterms:modified>
</cp:coreProperties>
</file>