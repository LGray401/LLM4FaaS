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ghe/llm4faas/eva/_results/"/>
    </mc:Choice>
  </mc:AlternateContent>
  <xr:revisionPtr revIDLastSave="0" documentId="13_ncr:1_{BA8B3736-0D91-BA4C-8ED4-08A1424689F6}" xr6:coauthVersionLast="47" xr6:coauthVersionMax="47" xr10:uidLastSave="{00000000-0000-0000-0000-000000000000}"/>
  <bookViews>
    <workbookView xWindow="0" yWindow="0" windowWidth="28800" windowHeight="18000" firstSheet="1" activeTab="4" xr2:uid="{6DBECB86-3C68-D645-803B-159C0CABC87E}"/>
  </bookViews>
  <sheets>
    <sheet name="gpt4o" sheetId="1" r:id="rId1"/>
    <sheet name="baseline_v2" sheetId="2" r:id="rId2"/>
    <sheet name="baseline_v1" sheetId="3" r:id="rId3"/>
    <sheet name="repeat_gpt4o" sheetId="4" r:id="rId4"/>
    <sheet name="repeat_4o-mini" sheetId="7" r:id="rId5"/>
    <sheet name="semantic_repeat" sheetId="6" r:id="rId6"/>
    <sheet name="result_repeat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2" i="7" l="1"/>
  <c r="F82" i="7"/>
  <c r="C82" i="7"/>
  <c r="B82" i="7"/>
  <c r="I75" i="7"/>
  <c r="F75" i="7"/>
  <c r="C75" i="7"/>
  <c r="B75" i="7"/>
  <c r="I52" i="7"/>
  <c r="F52" i="7"/>
  <c r="C52" i="7"/>
  <c r="B52" i="7"/>
  <c r="I46" i="7"/>
  <c r="F46" i="7"/>
  <c r="C46" i="7"/>
  <c r="B46" i="7"/>
  <c r="I25" i="7"/>
  <c r="F25" i="7"/>
  <c r="C25" i="7"/>
  <c r="B25" i="7"/>
  <c r="I19" i="7"/>
  <c r="F19" i="7"/>
  <c r="C19" i="7"/>
  <c r="B19" i="7"/>
  <c r="I82" i="4"/>
  <c r="F82" i="4"/>
  <c r="C82" i="4"/>
  <c r="B82" i="4"/>
  <c r="I52" i="4"/>
  <c r="F52" i="4"/>
  <c r="C52" i="4"/>
  <c r="B52" i="4"/>
  <c r="C25" i="4"/>
  <c r="F25" i="4"/>
  <c r="I25" i="4"/>
  <c r="B25" i="4"/>
  <c r="I75" i="4"/>
  <c r="F75" i="4"/>
  <c r="C75" i="4"/>
  <c r="B75" i="4"/>
  <c r="C46" i="4"/>
  <c r="I46" i="4"/>
  <c r="F46" i="4"/>
  <c r="B46" i="4"/>
  <c r="F19" i="4"/>
  <c r="C19" i="4"/>
  <c r="I19" i="4"/>
  <c r="B19" i="4"/>
  <c r="C39" i="2"/>
  <c r="I35" i="3"/>
  <c r="I39" i="3" s="1"/>
  <c r="H35" i="3"/>
  <c r="G35" i="3"/>
  <c r="F35" i="3"/>
  <c r="E35" i="3"/>
  <c r="D35" i="3"/>
  <c r="C35" i="3"/>
  <c r="B35" i="3"/>
  <c r="B38" i="3" s="1"/>
  <c r="B35" i="2"/>
  <c r="B39" i="2" s="1"/>
  <c r="E35" i="2"/>
  <c r="D35" i="2"/>
  <c r="C35" i="2"/>
  <c r="H35" i="2"/>
  <c r="G35" i="2"/>
  <c r="F35" i="2"/>
  <c r="I35" i="2"/>
  <c r="I39" i="2" s="1"/>
  <c r="B35" i="1"/>
  <c r="B39" i="1" s="1"/>
  <c r="E35" i="1"/>
  <c r="D35" i="1"/>
  <c r="C35" i="1"/>
  <c r="H35" i="1"/>
  <c r="G35" i="1"/>
  <c r="F35" i="1"/>
  <c r="I35" i="1"/>
  <c r="I39" i="1" s="1"/>
  <c r="C39" i="3" l="1"/>
  <c r="F39" i="3"/>
  <c r="C38" i="3"/>
  <c r="F38" i="3"/>
  <c r="I38" i="3"/>
  <c r="B39" i="3"/>
  <c r="C39" i="1"/>
  <c r="F38" i="2"/>
  <c r="B38" i="2"/>
  <c r="C38" i="2"/>
  <c r="F39" i="2"/>
  <c r="I38" i="2"/>
  <c r="F39" i="1"/>
  <c r="F38" i="1"/>
  <c r="B38" i="1"/>
  <c r="C38" i="1"/>
  <c r="I38" i="1"/>
</calcChain>
</file>

<file path=xl/sharedStrings.xml><?xml version="1.0" encoding="utf-8"?>
<sst xmlns="http://schemas.openxmlformats.org/spreadsheetml/2006/main" count="1285" uniqueCount="223">
  <si>
    <t>✅（turn off all actuators, but prompt does not defined the meaning of 'unnecessary'）</t>
  </si>
  <si>
    <t>Type Error, cannot get sensor readings; ✅</t>
  </si>
  <si>
    <t>✅</t>
  </si>
  <si>
    <t>Import errors; ✅</t>
  </si>
  <si>
    <t>Import error; ✅</t>
  </si>
  <si>
    <t>cannot get sensor readings; ✅</t>
  </si>
  <si>
    <t>cannot adjust temperature without a target temperature</t>
  </si>
  <si>
    <t>use one sensor reading triggers all ac/heater at home.</t>
  </si>
  <si>
    <t>cannot find both indoor and outdoor sensors in the  same room</t>
  </si>
  <si>
    <t>cannot set brightness level without turning the light on</t>
  </si>
  <si>
    <t>Index</t>
  </si>
  <si>
    <t>PASS</t>
  </si>
  <si>
    <t>COMPILE</t>
  </si>
  <si>
    <t>NOT PASS</t>
  </si>
  <si>
    <t>INVAILD</t>
  </si>
  <si>
    <t>TOTAL_VALID</t>
  </si>
  <si>
    <t>Temperature</t>
  </si>
  <si>
    <t>Humidity</t>
  </si>
  <si>
    <t>Light Intensity</t>
  </si>
  <si>
    <t>import error; ✅</t>
  </si>
  <si>
    <t>calculate the avg for temperature, humidity and light intensity, but not adapt them</t>
  </si>
  <si>
    <t>✅ does not use predefined function to adjuest temperature</t>
  </si>
  <si>
    <t>does not get sensor readings to adjust enviornment</t>
  </si>
  <si>
    <t>send notification about enviroment situation, but does not adjust them using actuators</t>
  </si>
  <si>
    <t>cannot adjust light correctly, this function uses whether an actuator has a turn_on/off method to determine whether that actuator is a light or not. However, each actuator has an on/off function.</t>
  </si>
  <si>
    <t>use one sensor reading to control all realted actuators at home</t>
  </si>
  <si>
    <t>Import Error; cannot get sensor readings; ✅</t>
  </si>
  <si>
    <t>does not adapt humidity</t>
  </si>
  <si>
    <t>cannot get sensor readings; does not keep humidity less than 30% as required</t>
  </si>
  <si>
    <t>prompt requires using ac to adjust humidity</t>
  </si>
  <si>
    <t>Morning</t>
  </si>
  <si>
    <t>Leave Home</t>
  </si>
  <si>
    <t>Movie</t>
  </si>
  <si>
    <t>only operates Kitchen and Living Room Light</t>
  </si>
  <si>
    <t>do not making coffee</t>
  </si>
  <si>
    <t>import error; cannot set brightness level</t>
  </si>
  <si>
    <t>✅ not triggered with time</t>
  </si>
  <si>
    <t>Curtain is opened not closedl; windows are wrongly opened</t>
  </si>
  <si>
    <t>✅Measuring whether it's cloudy by temperature</t>
  </si>
  <si>
    <t>✅Measuring whether it's sunny by temperature</t>
  </si>
  <si>
    <t>use different light intensity sensors' readings trigger bedroom actuators multiple times</t>
  </si>
  <si>
    <t>cannot set brightness level</t>
  </si>
  <si>
    <t>import error; ✅Curtain is opened not closed</t>
  </si>
  <si>
    <t>✅ (neither add new feature for the unexist Cleaning robot modes, not print any error message)</t>
  </si>
  <si>
    <t>invalid prompt, generate an example for interacting with sensors and acturators in the living room</t>
  </si>
  <si>
    <t>✅(user does not specify room, and the generated code assumes it to be living room)</t>
  </si>
  <si>
    <t>only trigger one light when there are multiple ones</t>
  </si>
  <si>
    <t>there are 2 ACs at home, only find 1</t>
  </si>
  <si>
    <t>AttributeError for TV, calling an non-exist function; wrongly consider Heater to be water cooker</t>
  </si>
  <si>
    <t>✅(user requires 4 mode, and every mode works well)</t>
  </si>
  <si>
    <t>only open the living room windows, and only 1 out of 2 windows</t>
  </si>
  <si>
    <t>only contron 1 light in the bedroom, but there are 2; has already support the auto-adapt functionality</t>
  </si>
  <si>
    <t>invaild prompt (❌import errors, does not import enough calling function)</t>
  </si>
  <si>
    <t>invaild prompt</t>
  </si>
  <si>
    <t>Import Error for AC and Cleaning Robot✅, i.e., all related actuators; it assumes that when all sensors are off, there is nobody at home)</t>
  </si>
  <si>
    <t>✅(this function is the 'generic' function that I would like to have :D)</t>
  </si>
  <si>
    <t>cannot set brightness level; only triggers the first found light</t>
  </si>
  <si>
    <t>Remote Device Control</t>
  </si>
  <si>
    <t>Scheduled Plans</t>
  </si>
  <si>
    <t>Comfort Home</t>
  </si>
  <si>
    <t>Energy Efficient Home</t>
  </si>
  <si>
    <t>Ready-to-Use Rate</t>
  </si>
  <si>
    <t>Compile Rate</t>
  </si>
  <si>
    <t>NameError;</t>
  </si>
  <si>
    <t>does not take home to be a global variable</t>
  </si>
  <si>
    <t>cannot get sensor readings and play music at home</t>
  </si>
  <si>
    <t>the provided command can only trigger part of the requirements; wrongly set heater target temperature to 100 degrees; function logic is incorrect</t>
  </si>
  <si>
    <t>only trigger one window</t>
  </si>
  <si>
    <t>only trigger one window; the good point was the app asked which room window to go to open.</t>
  </si>
  <si>
    <t>provides a CLI to either see the home plan or one room plan</t>
  </si>
  <si>
    <t>only control one light</t>
  </si>
  <si>
    <t>does not call adjust method accordingly</t>
  </si>
  <si>
    <t>incorrect control logic</t>
  </si>
  <si>
    <t>cannot set brightess level</t>
  </si>
  <si>
    <t>only trigger one device when there are multiple ones; cannot set brightness level</t>
  </si>
  <si>
    <t>the code turns off all actuators which are on.</t>
  </si>
  <si>
    <t>✅; but it is better to turn off the ac before open the windwo</t>
  </si>
  <si>
    <t>NameError;✅</t>
  </si>
  <si>
    <t>provides usage example at home</t>
  </si>
  <si>
    <t>TypeError; cannot get sensor readings</t>
  </si>
  <si>
    <t>does not check indoor temp and does not trigger windows</t>
  </si>
  <si>
    <t>adjust windows based on humidity</t>
  </si>
  <si>
    <t>set AC/Heater parameter and set all light brightness level to medium</t>
  </si>
  <si>
    <t>trigger one device when there are multiple ones</t>
  </si>
  <si>
    <t>trigger one window when there are multiple ones</t>
  </si>
  <si>
    <t>only check one window status when there are multiple ones; does not call adjust method accordingly</t>
  </si>
  <si>
    <t>the func wants to turn on all lights in the living room, but it turns on all devices.</t>
  </si>
  <si>
    <t>use one sensor reading to trigger all related devices at home.</t>
  </si>
  <si>
    <t>cannot find both outdoor and indoor temp sensor in one room</t>
  </si>
  <si>
    <t>does not use sensor at home, it initializes one every time using sensor data.</t>
  </si>
  <si>
    <t>only control environment in the living room</t>
  </si>
  <si>
    <t>only control environment in the living room; only trigger one light when there are multiple ones</t>
  </si>
  <si>
    <t>NameError; only control living room env;✅</t>
  </si>
  <si>
    <t>✅; display the env parameters</t>
  </si>
  <si>
    <t>TypeError; missing one argument</t>
  </si>
  <si>
    <t>only control living room; does not adjust env, only display the current temp</t>
  </si>
  <si>
    <t>only control living room; does not adjust env, only display the current humidity</t>
  </si>
  <si>
    <t>only control living room; does not adjust env, only display the current light intensity</t>
  </si>
  <si>
    <t>use one sensor reading to triiger all related devices at home; does not call adjust method accordingly</t>
  </si>
  <si>
    <t xml:space="preserve">use one sensor reading to triiger all related devices at home; </t>
  </si>
  <si>
    <t>only trigger the last found AC and the triggering does not align with the room</t>
  </si>
  <si>
    <t>only work in the living room; only control one light when there are multiple ones</t>
  </si>
  <si>
    <t>use one sensor reading to triiger all related devices at home;</t>
  </si>
  <si>
    <t>only control env in the living room; does not use the user-provided threshold</t>
  </si>
  <si>
    <t>✅;does not use the user-provided threshold</t>
  </si>
  <si>
    <t>use one sensor reading to triiger all related devices at home; does not use user-provided threshold</t>
  </si>
  <si>
    <t>does not consider what the user considered that when it is too bright at home</t>
  </si>
  <si>
    <t>the device is turned on as well when it is unnecessary to trigger it; ✅</t>
  </si>
  <si>
    <t>only control living room;</t>
  </si>
  <si>
    <t>does not control humidity</t>
  </si>
  <si>
    <t>does not use user-provide threshold; only trigger one light when there are multiple ones</t>
  </si>
  <si>
    <t>only control environment in the living room; does not call adjust temp method</t>
  </si>
  <si>
    <t>turn on and control all lights at home</t>
  </si>
  <si>
    <t>control all lights at home; ✅</t>
  </si>
  <si>
    <t>only turn off lights in the living room</t>
  </si>
  <si>
    <t>turn on and off the curtain which makes no sense</t>
  </si>
  <si>
    <t>✅; turn on both the living room and bedroom music player.</t>
  </si>
  <si>
    <t>✅; trigger bedroom curtain as well.</t>
  </si>
  <si>
    <t>does not run any plan; NameError;✅</t>
  </si>
  <si>
    <t>does not run any plan; NameError; control all rooms at home</t>
  </si>
  <si>
    <t>control all rooms at home; use one sensor reading to trigger all devices at home</t>
  </si>
  <si>
    <t>control all rooms at home;</t>
  </si>
  <si>
    <t>only control livingroom</t>
  </si>
  <si>
    <t>the code only trigger morning plan;control all rooms at home</t>
  </si>
  <si>
    <t>the code only trigger morning plan;✅</t>
  </si>
  <si>
    <t>does not provide smart home API, or control device programmatically</t>
  </si>
  <si>
    <t>The provided code doesn’t use any protocols or libraries for smart home systems (e.g., MQTT, Zigbee, or REST APIs) that actual smart devices rely on.</t>
  </si>
  <si>
    <t>Even a simulation could mimic these integrations to make the application closer to reality.</t>
  </si>
  <si>
    <t>A smart home application, even as a simulation, should attempt to replicate the environment of a real smart home ecosystem.</t>
  </si>
  <si>
    <t>yellow: no error reported, but functionally not correct/does not match user requirements/ does not consider home-layout</t>
  </si>
  <si>
    <t>red: error</t>
  </si>
  <si>
    <t xml:space="preserve">✅:  the code mention that for the real-world application, the code should be expanded </t>
  </si>
  <si>
    <t>green: funtionally meets user requirements and based on the provided home-plan</t>
  </si>
  <si>
    <t>❌: does not even mention</t>
  </si>
  <si>
    <t>❌</t>
  </si>
  <si>
    <t>❌; give a smart home setup based on the given home plan</t>
  </si>
  <si>
    <t>❌; only consider the living room and bedroom; does not include the devices as shown in the home layout</t>
  </si>
  <si>
    <t>✅; only provide skeleton of code to dim light</t>
  </si>
  <si>
    <t>❌; the code is not based on the provide home layout</t>
  </si>
  <si>
    <t>❌; there are 2 lights in the bedroom, while the code only initializes one</t>
  </si>
  <si>
    <t>✅; the code is not based on the provide home layout</t>
  </si>
  <si>
    <t>❌, but it mention that python3 is an alternative for the provided command using python</t>
  </si>
  <si>
    <t>✅, the command does not work</t>
  </si>
  <si>
    <t>✅, it provides a method for actural device connection</t>
  </si>
  <si>
    <t>✅; ModuleNotFoundError; need to additionally install 'schedule' library</t>
  </si>
  <si>
    <t>❌; KeyError</t>
  </si>
  <si>
    <t>❌; ❎The provided codes are not directlly runnable</t>
  </si>
  <si>
    <t>❌: 22-4</t>
  </si>
  <si>
    <t>✅: 4-1</t>
  </si>
  <si>
    <t>✅15-0</t>
  </si>
  <si>
    <t>❌11-0</t>
  </si>
  <si>
    <t>✅12-3</t>
  </si>
  <si>
    <t>❌14-1</t>
  </si>
  <si>
    <t>✅: 9-1</t>
  </si>
  <si>
    <t>❌: 17-2</t>
  </si>
  <si>
    <t>✅; is not based on the provided home plan</t>
  </si>
  <si>
    <t>✅; does not consider controlling device, print everything</t>
  </si>
  <si>
    <t>❌; does not consider controlling device, print everything</t>
  </si>
  <si>
    <t xml:space="preserve">❌; </t>
  </si>
  <si>
    <t>✅: 3</t>
  </si>
  <si>
    <t>✅; prints out user requirements in English</t>
  </si>
  <si>
    <t>✅: 1</t>
  </si>
  <si>
    <t>✅; only displays home layoutmdoes adjust home env</t>
  </si>
  <si>
    <t>✅; does not consider sensors</t>
  </si>
  <si>
    <t>✅; does not consider devices</t>
  </si>
  <si>
    <t>✅; wrongly understand the requirement</t>
  </si>
  <si>
    <t>关闭客厅的灯</t>
  </si>
  <si>
    <t>给我煮杯咖啡</t>
  </si>
  <si>
    <t>关掉所有的灯</t>
  </si>
  <si>
    <t>我要看电影，拉上窗帘</t>
  </si>
  <si>
    <t>温度26度</t>
  </si>
  <si>
    <t>湿度50</t>
  </si>
  <si>
    <t>光适中</t>
  </si>
  <si>
    <t>开窗关空调</t>
  </si>
  <si>
    <t>卧室灯调暗一些</t>
  </si>
  <si>
    <t>7点叫我起床，7点零五把音乐大开，播放周杰伦歌单，7：20做好咖啡</t>
  </si>
  <si>
    <t>7：30之后我离开家后自动锁门，关闭家中灯光插座</t>
  </si>
  <si>
    <t>我开始播放电影时，关闭窗帘，调暗灯光</t>
  </si>
  <si>
    <t>屋里太热了</t>
  </si>
  <si>
    <t>屋里有点干</t>
  </si>
  <si>
    <t>屋里太暗了</t>
  </si>
  <si>
    <t>空调打开时自动关闭门窗，屋内温度较高屋外较低时询问是否开窗降温</t>
  </si>
  <si>
    <t>✅; only works in the living room</t>
  </si>
  <si>
    <t>incorrect logic, will turn on  heater and ac when temperature lower than 26</t>
  </si>
  <si>
    <t>cannot get sensor readings</t>
  </si>
  <si>
    <t>cannot get sensor readings;✅</t>
  </si>
  <si>
    <t>cannot set brightness level;✅</t>
  </si>
  <si>
    <t>cannot set brightness level; every sensor reading will trigger all actuators at home</t>
  </si>
  <si>
    <t>cannot find both indoor and outdoor sensor in the same room</t>
  </si>
  <si>
    <t xml:space="preserve">logic is correct but cannot find outdoor sensor </t>
  </si>
  <si>
    <t>there is not outdoor sensor in the living room</t>
  </si>
  <si>
    <t>cannot find sensors in a correct way</t>
  </si>
  <si>
    <t>cannot get sensor readings; cannot find both indoor and outdoor sensor in the same room</t>
  </si>
  <si>
    <t>UnboundLocalError; cannot find outdoor sensor in a correct way</t>
  </si>
  <si>
    <t>do not make coffee</t>
  </si>
  <si>
    <t>only control living room</t>
  </si>
  <si>
    <t>Yes</t>
  </si>
  <si>
    <t>No</t>
  </si>
  <si>
    <t>Orginal</t>
  </si>
  <si>
    <t>Rate</t>
  </si>
  <si>
    <t>yes</t>
  </si>
  <si>
    <t>User</t>
  </si>
  <si>
    <t>no</t>
  </si>
  <si>
    <t xml:space="preserve">no </t>
  </si>
  <si>
    <t>Task</t>
  </si>
  <si>
    <t>Easy</t>
  </si>
  <si>
    <t>Medium</t>
  </si>
  <si>
    <t>Advanced</t>
  </si>
  <si>
    <t>Complex</t>
  </si>
  <si>
    <t>Original</t>
  </si>
  <si>
    <t>User1</t>
  </si>
  <si>
    <t>User2</t>
  </si>
  <si>
    <t>User3</t>
  </si>
  <si>
    <t>Semantic</t>
  </si>
  <si>
    <t>cannot set brightness level to medium as the function does not turn on the light first</t>
  </si>
  <si>
    <t>AttributeError; cannot find actuator</t>
  </si>
  <si>
    <t>NameError(import); only trigger actuators in the living room</t>
  </si>
  <si>
    <t>does not trigger sockets</t>
  </si>
  <si>
    <t>cannot get sensor readings; only trigger the first found actuator in the room</t>
  </si>
  <si>
    <t>NameError(import); doesn't trigger any devices at home</t>
  </si>
  <si>
    <t>only trigger the first found window</t>
  </si>
  <si>
    <t>cannot get sensor readings;only trigger one window</t>
  </si>
  <si>
    <t>cannot find sensors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</si>
</sst>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%"/>
  </numFmts>
  <fonts count="8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2"/>
      <color rgb="FF000000"/>
      <name val="Aptos Narrow"/>
      <scheme val="minor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12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DAF2D0"/>
        <bgColor rgb="FF000000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rgb="FF01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</borders>
  <cellStyleXfs count="2">
    <xf numFmtId="0" fontId="0" fillId="0" borderId="0"/>
    <xf numFmtId="0" fontId="2" fillId="0" borderId="0"/>
  </cellStyleXfs>
  <cellXfs count="158">
    <xf numFmtId="0" fontId="0" fillId="0" borderId="0" xfId="0"/>
    <xf numFmtId="0" fontId="2" fillId="2" borderId="2" xfId="1" applyFill="1" applyBorder="1"/>
    <xf numFmtId="0" fontId="2" fillId="3" borderId="3" xfId="1" applyFill="1" applyBorder="1"/>
    <xf numFmtId="0" fontId="2" fillId="4" borderId="3" xfId="0" applyFont="1" applyFill="1" applyBorder="1" applyAlignment="1">
      <alignment horizontal="left"/>
    </xf>
    <xf numFmtId="0" fontId="2" fillId="5" borderId="4" xfId="1" applyFill="1" applyBorder="1"/>
    <xf numFmtId="0" fontId="2" fillId="6" borderId="3" xfId="1" applyFill="1" applyBorder="1"/>
    <xf numFmtId="0" fontId="2" fillId="7" borderId="3" xfId="0" applyFont="1" applyFill="1" applyBorder="1" applyAlignment="1">
      <alignment horizontal="left"/>
    </xf>
    <xf numFmtId="0" fontId="3" fillId="6" borderId="5" xfId="0" applyFont="1" applyFill="1" applyBorder="1" applyAlignment="1">
      <alignment horizontal="left"/>
    </xf>
    <xf numFmtId="0" fontId="2" fillId="6" borderId="6" xfId="0" applyFont="1" applyFill="1" applyBorder="1" applyAlignment="1">
      <alignment horizontal="left"/>
    </xf>
    <xf numFmtId="0" fontId="2" fillId="2" borderId="1" xfId="1" applyFill="1" applyBorder="1" applyAlignment="1">
      <alignment horizontal="center"/>
    </xf>
    <xf numFmtId="0" fontId="2" fillId="6" borderId="1" xfId="1" applyFill="1" applyBorder="1" applyAlignment="1">
      <alignment horizontal="center"/>
    </xf>
    <xf numFmtId="0" fontId="2" fillId="3" borderId="1" xfId="1" applyFill="1" applyBorder="1" applyAlignment="1">
      <alignment horizontal="center"/>
    </xf>
    <xf numFmtId="0" fontId="2" fillId="5" borderId="7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1"/>
    <xf numFmtId="164" fontId="0" fillId="8" borderId="9" xfId="0" applyNumberFormat="1" applyFill="1" applyBorder="1"/>
    <xf numFmtId="164" fontId="0" fillId="8" borderId="10" xfId="0" applyNumberFormat="1" applyFill="1" applyBorder="1"/>
    <xf numFmtId="0" fontId="2" fillId="0" borderId="1" xfId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1" applyAlignment="1">
      <alignment horizontal="center"/>
    </xf>
    <xf numFmtId="0" fontId="2" fillId="8" borderId="2" xfId="1" applyFill="1" applyBorder="1" applyAlignment="1">
      <alignment horizontal="center" vertical="center"/>
    </xf>
    <xf numFmtId="0" fontId="2" fillId="8" borderId="11" xfId="1" applyFill="1" applyBorder="1" applyAlignment="1">
      <alignment horizontal="center" vertical="center"/>
    </xf>
    <xf numFmtId="0" fontId="2" fillId="0" borderId="13" xfId="1" applyBorder="1" applyAlignment="1">
      <alignment horizontal="center"/>
    </xf>
    <xf numFmtId="0" fontId="2" fillId="6" borderId="17" xfId="1" applyFill="1" applyBorder="1" applyAlignment="1">
      <alignment horizontal="center"/>
    </xf>
    <xf numFmtId="0" fontId="2" fillId="6" borderId="17" xfId="1" applyFill="1" applyBorder="1" applyAlignment="1">
      <alignment horizontal="left"/>
    </xf>
    <xf numFmtId="0" fontId="2" fillId="3" borderId="4" xfId="1" applyFill="1" applyBorder="1" applyAlignment="1">
      <alignment horizontal="left"/>
    </xf>
    <xf numFmtId="0" fontId="2" fillId="6" borderId="3" xfId="1" applyFill="1" applyBorder="1" applyAlignment="1">
      <alignment horizontal="left"/>
    </xf>
    <xf numFmtId="0" fontId="2" fillId="6" borderId="4" xfId="1" applyFill="1" applyBorder="1" applyAlignment="1">
      <alignment horizontal="left"/>
    </xf>
    <xf numFmtId="0" fontId="2" fillId="0" borderId="0" xfId="1" applyAlignment="1">
      <alignment horizontal="left"/>
    </xf>
    <xf numFmtId="0" fontId="2" fillId="5" borderId="4" xfId="0" applyFont="1" applyFill="1" applyBorder="1" applyAlignment="1">
      <alignment horizontal="center" vertical="center"/>
    </xf>
    <xf numFmtId="0" fontId="2" fillId="2" borderId="14" xfId="1" applyFill="1" applyBorder="1" applyAlignment="1">
      <alignment horizontal="left"/>
    </xf>
    <xf numFmtId="0" fontId="2" fillId="6" borderId="22" xfId="1" applyFill="1" applyBorder="1" applyAlignment="1">
      <alignment horizontal="left"/>
    </xf>
    <xf numFmtId="0" fontId="2" fillId="6" borderId="23" xfId="1" applyFill="1" applyBorder="1" applyAlignment="1">
      <alignment horizontal="left"/>
    </xf>
    <xf numFmtId="0" fontId="2" fillId="5" borderId="3" xfId="1" applyFill="1" applyBorder="1" applyAlignment="1">
      <alignment horizontal="left"/>
    </xf>
    <xf numFmtId="0" fontId="2" fillId="3" borderId="3" xfId="1" applyFill="1" applyBorder="1" applyAlignment="1">
      <alignment horizontal="left"/>
    </xf>
    <xf numFmtId="0" fontId="2" fillId="6" borderId="24" xfId="1" applyFill="1" applyBorder="1" applyAlignment="1">
      <alignment horizontal="left"/>
    </xf>
    <xf numFmtId="0" fontId="2" fillId="3" borderId="11" xfId="1" applyFill="1" applyBorder="1" applyAlignment="1">
      <alignment horizontal="left" vertical="center"/>
    </xf>
    <xf numFmtId="0" fontId="2" fillId="0" borderId="0" xfId="1" applyAlignment="1">
      <alignment horizontal="left" vertical="center"/>
    </xf>
    <xf numFmtId="0" fontId="2" fillId="0" borderId="0" xfId="1" applyAlignment="1">
      <alignment horizontal="center" vertical="center"/>
    </xf>
    <xf numFmtId="0" fontId="2" fillId="4" borderId="2" xfId="0" applyFont="1" applyFill="1" applyBorder="1" applyAlignment="1">
      <alignment horizontal="left"/>
    </xf>
    <xf numFmtId="49" fontId="2" fillId="9" borderId="3" xfId="0" applyNumberFormat="1" applyFont="1" applyFill="1" applyBorder="1" applyAlignment="1">
      <alignment horizontal="left" vertical="center"/>
    </xf>
    <xf numFmtId="0" fontId="2" fillId="10" borderId="3" xfId="0" applyFont="1" applyFill="1" applyBorder="1" applyAlignment="1">
      <alignment horizontal="left"/>
    </xf>
    <xf numFmtId="0" fontId="4" fillId="11" borderId="3" xfId="0" applyFont="1" applyFill="1" applyBorder="1" applyAlignment="1">
      <alignment horizontal="left" vertical="center"/>
    </xf>
    <xf numFmtId="0" fontId="4" fillId="9" borderId="3" xfId="0" applyFont="1" applyFill="1" applyBorder="1" applyAlignment="1">
      <alignment horizontal="left" vertical="center"/>
    </xf>
    <xf numFmtId="0" fontId="2" fillId="12" borderId="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13" xfId="1" applyFont="1" applyBorder="1" applyAlignment="1">
      <alignment horizontal="center"/>
    </xf>
    <xf numFmtId="0" fontId="2" fillId="5" borderId="1" xfId="1" applyFill="1" applyBorder="1"/>
    <xf numFmtId="0" fontId="2" fillId="5" borderId="1" xfId="1" applyFill="1" applyBorder="1" applyAlignment="1">
      <alignment horizontal="left"/>
    </xf>
    <xf numFmtId="0" fontId="2" fillId="3" borderId="1" xfId="1" applyFill="1" applyBorder="1" applyAlignment="1">
      <alignment horizontal="left"/>
    </xf>
    <xf numFmtId="0" fontId="2" fillId="6" borderId="1" xfId="1" applyFill="1" applyBorder="1" applyAlignment="1">
      <alignment horizontal="left"/>
    </xf>
    <xf numFmtId="164" fontId="0" fillId="8" borderId="9" xfId="0" applyNumberFormat="1" applyFill="1" applyBorder="1" applyAlignment="1">
      <alignment horizontal="center"/>
    </xf>
    <xf numFmtId="164" fontId="0" fillId="8" borderId="10" xfId="0" applyNumberFormat="1" applyFill="1" applyBorder="1" applyAlignment="1">
      <alignment horizontal="center"/>
    </xf>
    <xf numFmtId="0" fontId="2" fillId="0" borderId="1" xfId="1" applyBorder="1" applyAlignment="1">
      <alignment horizontal="left"/>
    </xf>
    <xf numFmtId="49" fontId="2" fillId="5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0" fillId="6" borderId="1" xfId="0" applyFill="1" applyBorder="1"/>
    <xf numFmtId="0" fontId="2" fillId="10" borderId="28" xfId="0" applyFont="1" applyFill="1" applyBorder="1" applyAlignment="1">
      <alignment horizontal="left"/>
    </xf>
    <xf numFmtId="0" fontId="5" fillId="6" borderId="1" xfId="0" applyFont="1" applyFill="1" applyBorder="1"/>
    <xf numFmtId="0" fontId="0" fillId="2" borderId="0" xfId="0" applyFill="1"/>
    <xf numFmtId="0" fontId="0" fillId="6" borderId="0" xfId="0" applyFill="1"/>
    <xf numFmtId="0" fontId="0" fillId="3" borderId="0" xfId="0" applyFill="1"/>
    <xf numFmtId="0" fontId="2" fillId="2" borderId="1" xfId="1" applyFill="1" applyBorder="1" applyAlignment="1">
      <alignment horizontal="left"/>
    </xf>
    <xf numFmtId="0" fontId="5" fillId="3" borderId="1" xfId="0" applyFont="1" applyFill="1" applyBorder="1"/>
    <xf numFmtId="0" fontId="2" fillId="2" borderId="0" xfId="1" applyFill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10" borderId="1" xfId="0" applyFont="1" applyFill="1" applyBorder="1" applyAlignment="1">
      <alignment horizontal="left"/>
    </xf>
    <xf numFmtId="0" fontId="2" fillId="12" borderId="3" xfId="0" applyFont="1" applyFill="1" applyBorder="1" applyAlignment="1">
      <alignment horizontal="left"/>
    </xf>
    <xf numFmtId="0" fontId="2" fillId="4" borderId="23" xfId="0" applyFont="1" applyFill="1" applyBorder="1" applyAlignment="1">
      <alignment horizontal="left"/>
    </xf>
    <xf numFmtId="0" fontId="2" fillId="2" borderId="31" xfId="1" applyFill="1" applyBorder="1" applyAlignment="1">
      <alignment horizontal="left"/>
    </xf>
    <xf numFmtId="0" fontId="0" fillId="0" borderId="1" xfId="0" applyBorder="1"/>
    <xf numFmtId="0" fontId="6" fillId="0" borderId="0" xfId="0" applyFont="1"/>
    <xf numFmtId="0" fontId="2" fillId="6" borderId="2" xfId="1" applyFill="1" applyBorder="1"/>
    <xf numFmtId="0" fontId="2" fillId="3" borderId="14" xfId="1" applyFill="1" applyBorder="1"/>
    <xf numFmtId="0" fontId="2" fillId="6" borderId="28" xfId="1" applyFill="1" applyBorder="1"/>
    <xf numFmtId="0" fontId="0" fillId="14" borderId="0" xfId="0" applyFill="1"/>
    <xf numFmtId="10" fontId="0" fillId="0" borderId="0" xfId="0" applyNumberFormat="1"/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15" borderId="1" xfId="0" applyFill="1" applyBorder="1"/>
    <xf numFmtId="0" fontId="2" fillId="15" borderId="1" xfId="1" applyFill="1" applyBorder="1" applyAlignment="1">
      <alignment horizontal="left"/>
    </xf>
    <xf numFmtId="0" fontId="2" fillId="15" borderId="1" xfId="1" applyFill="1" applyBorder="1"/>
    <xf numFmtId="10" fontId="0" fillId="15" borderId="1" xfId="0" applyNumberFormat="1" applyFill="1" applyBorder="1"/>
    <xf numFmtId="0" fontId="0" fillId="16" borderId="0" xfId="0" applyFill="1"/>
    <xf numFmtId="0" fontId="0" fillId="16" borderId="0" xfId="0" applyFill="1" applyAlignment="1">
      <alignment horizontal="center"/>
    </xf>
    <xf numFmtId="10" fontId="0" fillId="16" borderId="0" xfId="0" applyNumberFormat="1" applyFill="1" applyAlignment="1">
      <alignment horizontal="center"/>
    </xf>
    <xf numFmtId="0" fontId="0" fillId="17" borderId="0" xfId="0" applyFill="1" applyAlignment="1">
      <alignment horizontal="center"/>
    </xf>
    <xf numFmtId="10" fontId="0" fillId="17" borderId="0" xfId="0" applyNumberFormat="1" applyFill="1" applyAlignment="1">
      <alignment horizontal="center"/>
    </xf>
    <xf numFmtId="0" fontId="0" fillId="17" borderId="0" xfId="0" applyFill="1"/>
    <xf numFmtId="0" fontId="1" fillId="0" borderId="26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2" fillId="8" borderId="10" xfId="1" applyNumberForma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164" fontId="2" fillId="8" borderId="9" xfId="1" applyNumberFormat="1" applyFill="1" applyBorder="1" applyAlignment="1">
      <alignment horizontal="center" vertical="center"/>
    </xf>
    <xf numFmtId="0" fontId="2" fillId="6" borderId="14" xfId="1" applyFill="1" applyBorder="1" applyAlignment="1">
      <alignment horizontal="left"/>
    </xf>
    <xf numFmtId="0" fontId="2" fillId="6" borderId="15" xfId="1" applyFill="1" applyBorder="1" applyAlignment="1">
      <alignment horizontal="left"/>
    </xf>
    <xf numFmtId="0" fontId="2" fillId="6" borderId="16" xfId="1" applyFill="1" applyBorder="1" applyAlignment="1">
      <alignment horizontal="left"/>
    </xf>
    <xf numFmtId="0" fontId="2" fillId="6" borderId="18" xfId="1" applyFill="1" applyBorder="1" applyAlignment="1">
      <alignment horizontal="left"/>
    </xf>
    <xf numFmtId="0" fontId="2" fillId="6" borderId="19" xfId="1" applyFill="1" applyBorder="1" applyAlignment="1">
      <alignment horizontal="left"/>
    </xf>
    <xf numFmtId="0" fontId="2" fillId="6" borderId="12" xfId="1" applyFill="1" applyBorder="1" applyAlignment="1">
      <alignment horizontal="left"/>
    </xf>
    <xf numFmtId="0" fontId="2" fillId="3" borderId="14" xfId="1" applyFill="1" applyBorder="1" applyAlignment="1">
      <alignment horizontal="center"/>
    </xf>
    <xf numFmtId="0" fontId="2" fillId="3" borderId="15" xfId="1" applyFill="1" applyBorder="1" applyAlignment="1">
      <alignment horizontal="center"/>
    </xf>
    <xf numFmtId="0" fontId="2" fillId="3" borderId="16" xfId="1" applyFill="1" applyBorder="1" applyAlignment="1">
      <alignment horizontal="center"/>
    </xf>
    <xf numFmtId="0" fontId="2" fillId="0" borderId="1" xfId="1" applyBorder="1" applyAlignment="1">
      <alignment horizontal="center" vertical="center"/>
    </xf>
    <xf numFmtId="0" fontId="2" fillId="6" borderId="14" xfId="1" applyFill="1" applyBorder="1" applyAlignment="1">
      <alignment horizontal="center"/>
    </xf>
    <xf numFmtId="0" fontId="2" fillId="6" borderId="15" xfId="1" applyFill="1" applyBorder="1" applyAlignment="1">
      <alignment horizontal="center"/>
    </xf>
    <xf numFmtId="0" fontId="2" fillId="6" borderId="16" xfId="1" applyFill="1" applyBorder="1" applyAlignment="1">
      <alignment horizontal="center"/>
    </xf>
    <xf numFmtId="0" fontId="1" fillId="0" borderId="21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64" fontId="2" fillId="0" borderId="27" xfId="1" applyNumberFormat="1" applyBorder="1" applyAlignment="1">
      <alignment horizontal="center" vertical="center"/>
    </xf>
    <xf numFmtId="164" fontId="2" fillId="0" borderId="13" xfId="1" applyNumberFormat="1" applyBorder="1" applyAlignment="1">
      <alignment horizontal="center" vertical="center"/>
    </xf>
    <xf numFmtId="0" fontId="2" fillId="0" borderId="27" xfId="1" applyBorder="1" applyAlignment="1">
      <alignment horizontal="center" vertical="center"/>
    </xf>
    <xf numFmtId="0" fontId="2" fillId="0" borderId="13" xfId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/>
    </xf>
    <xf numFmtId="0" fontId="1" fillId="13" borderId="21" xfId="0" applyFont="1" applyFill="1" applyBorder="1" applyAlignment="1">
      <alignment horizontal="center" vertical="center"/>
    </xf>
    <xf numFmtId="0" fontId="1" fillId="13" borderId="20" xfId="0" applyFont="1" applyFill="1" applyBorder="1" applyAlignment="1">
      <alignment horizontal="center" vertical="center"/>
    </xf>
    <xf numFmtId="0" fontId="1" fillId="13" borderId="25" xfId="0" applyFont="1" applyFill="1" applyBorder="1" applyAlignment="1">
      <alignment horizontal="center" vertical="center"/>
    </xf>
    <xf numFmtId="164" fontId="2" fillId="13" borderId="29" xfId="1" applyNumberFormat="1" applyFill="1" applyBorder="1" applyAlignment="1">
      <alignment horizontal="center" vertical="center"/>
    </xf>
    <xf numFmtId="164" fontId="2" fillId="13" borderId="21" xfId="1" applyNumberFormat="1" applyFill="1" applyBorder="1" applyAlignment="1">
      <alignment horizontal="center" vertical="center"/>
    </xf>
    <xf numFmtId="0" fontId="1" fillId="13" borderId="21" xfId="1" applyFont="1" applyFill="1" applyBorder="1" applyAlignment="1">
      <alignment horizontal="center" vertical="center"/>
    </xf>
    <xf numFmtId="0" fontId="1" fillId="13" borderId="20" xfId="1" applyFont="1" applyFill="1" applyBorder="1" applyAlignment="1">
      <alignment horizontal="center" vertical="center"/>
    </xf>
    <xf numFmtId="0" fontId="2" fillId="0" borderId="30" xfId="1" applyBorder="1" applyAlignment="1">
      <alignment horizontal="center"/>
    </xf>
    <xf numFmtId="0" fontId="2" fillId="0" borderId="20" xfId="1" applyBorder="1" applyAlignment="1">
      <alignment horizontal="center"/>
    </xf>
    <xf numFmtId="0" fontId="2" fillId="2" borderId="0" xfId="1" applyFill="1" applyAlignment="1">
      <alignment horizontal="center"/>
    </xf>
    <xf numFmtId="10" fontId="0" fillId="15" borderId="1" xfId="0" applyNumberForma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1" fillId="0" borderId="2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8" xfId="1" applyFont="1" applyBorder="1" applyAlignment="1">
      <alignment horizontal="center" vertical="center"/>
    </xf>
    <xf numFmtId="0" fontId="1" fillId="0" borderId="19" xfId="1" applyFont="1" applyBorder="1" applyAlignment="1">
      <alignment horizontal="center" vertical="center"/>
    </xf>
    <xf numFmtId="0" fontId="1" fillId="0" borderId="12" xfId="1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2" fillId="6" borderId="31" xfId="1" applyFill="1" applyBorder="1" applyAlignment="1">
      <alignment horizontal="left"/>
    </xf>
    <xf numFmtId="0" fontId="2" fillId="6" borderId="32" xfId="1" applyFill="1" applyBorder="1" applyAlignment="1">
      <alignment horizontal="left"/>
    </xf>
    <xf numFmtId="0" fontId="2" fillId="6" borderId="33" xfId="1" applyFill="1" applyBorder="1" applyAlignment="1">
      <alignment horizontal="left"/>
    </xf>
    <xf numFmtId="0" fontId="2" fillId="3" borderId="6" xfId="0" applyFont="1" applyFill="1" applyBorder="1" applyAlignment="1">
      <alignment horizontal="left"/>
    </xf>
    <xf numFmtId="0" fontId="2" fillId="4" borderId="14" xfId="0" applyFont="1" applyFill="1" applyBorder="1" applyAlignment="1">
      <alignment horizontal="left"/>
    </xf>
    <xf numFmtId="0" fontId="2" fillId="6" borderId="0" xfId="1" applyFill="1" applyAlignment="1">
      <alignment vertical="center"/>
    </xf>
    <xf numFmtId="0" fontId="2" fillId="3" borderId="2" xfId="1" applyFill="1" applyBorder="1"/>
    <xf numFmtId="0" fontId="2" fillId="0" borderId="3" xfId="0" applyFont="1" applyFill="1" applyBorder="1" applyAlignment="1">
      <alignment horizontal="left"/>
    </xf>
    <xf numFmtId="0" fontId="2" fillId="0" borderId="14" xfId="1" applyFill="1" applyBorder="1" applyAlignment="1">
      <alignment horizontal="left"/>
    </xf>
    <xf numFmtId="0" fontId="2" fillId="0" borderId="2" xfId="1" applyFill="1" applyBorder="1"/>
    <xf numFmtId="0" fontId="2" fillId="0" borderId="23" xfId="0" applyFont="1" applyFill="1" applyBorder="1" applyAlignment="1">
      <alignment horizontal="left"/>
    </xf>
    <xf numFmtId="0" fontId="2" fillId="0" borderId="28" xfId="1" applyFill="1" applyBorder="1"/>
    <xf numFmtId="0" fontId="2" fillId="0" borderId="23" xfId="1" applyFill="1" applyBorder="1" applyAlignment="1">
      <alignment horizontal="left"/>
    </xf>
    <xf numFmtId="0" fontId="2" fillId="0" borderId="3" xfId="1" applyFill="1" applyBorder="1" applyAlignment="1">
      <alignment horizontal="left"/>
    </xf>
    <xf numFmtId="0" fontId="2" fillId="0" borderId="3" xfId="1" applyFill="1" applyBorder="1"/>
    <xf numFmtId="0" fontId="0" fillId="0" borderId="0" xfId="0" applyFill="1"/>
    <xf numFmtId="0" fontId="2" fillId="0" borderId="31" xfId="1" applyFill="1" applyBorder="1" applyAlignment="1">
      <alignment horizontal="left"/>
    </xf>
    <xf numFmtId="0" fontId="2" fillId="0" borderId="14" xfId="1" applyFill="1" applyBorder="1"/>
  </cellXfs>
  <cellStyles count="2">
    <cellStyle name="Normal" xfId="0" builtinId="0"/>
    <cellStyle name="Normal 2" xfId="1" xr:uid="{CD0563D0-EEA0-3B44-BB6D-738B4406B661}"/>
  </cellStyles>
  <dxfs count="0"/>
  <tableStyles count="0" defaultTableStyle="TableStyleMedium2" defaultPivotStyle="PivotStyleLight16"/>
  <colors>
    <mruColors>
      <color rgb="FF01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2C91-FBA8-3941-A926-CD9D80C0189A}">
  <dimension ref="A1:I46"/>
  <sheetViews>
    <sheetView zoomScale="125" zoomScaleNormal="180" workbookViewId="0">
      <selection activeCell="A9" sqref="A9"/>
    </sheetView>
  </sheetViews>
  <sheetFormatPr baseColWidth="10" defaultRowHeight="16" x14ac:dyDescent="0.2"/>
  <cols>
    <col min="1" max="1" width="12.33203125" style="20" customWidth="1"/>
    <col min="2" max="2" width="15.83203125" customWidth="1"/>
    <col min="3" max="4" width="15.6640625" style="39" customWidth="1"/>
    <col min="5" max="5" width="15.6640625" style="14" customWidth="1"/>
    <col min="6" max="9" width="15.83203125" style="14" customWidth="1"/>
  </cols>
  <sheetData>
    <row r="1" spans="1:9" x14ac:dyDescent="0.2">
      <c r="A1" s="107" t="s">
        <v>10</v>
      </c>
      <c r="B1" s="114" t="s">
        <v>57</v>
      </c>
      <c r="C1" s="96" t="s">
        <v>58</v>
      </c>
      <c r="D1" s="96"/>
      <c r="E1" s="96"/>
      <c r="F1" s="111" t="s">
        <v>59</v>
      </c>
      <c r="G1" s="112"/>
      <c r="H1" s="113"/>
      <c r="I1" s="93" t="s">
        <v>60</v>
      </c>
    </row>
    <row r="2" spans="1:9" x14ac:dyDescent="0.2">
      <c r="A2" s="107"/>
      <c r="B2" s="111"/>
      <c r="C2" s="23" t="s">
        <v>30</v>
      </c>
      <c r="D2" s="23" t="s">
        <v>31</v>
      </c>
      <c r="E2" s="23" t="s">
        <v>32</v>
      </c>
      <c r="F2" s="23" t="s">
        <v>16</v>
      </c>
      <c r="G2" s="23" t="s">
        <v>17</v>
      </c>
      <c r="H2" s="23" t="s">
        <v>18</v>
      </c>
      <c r="I2" s="94"/>
    </row>
    <row r="3" spans="1:9" x14ac:dyDescent="0.2">
      <c r="A3" s="17">
        <v>1</v>
      </c>
      <c r="B3" s="40" t="s">
        <v>43</v>
      </c>
      <c r="C3" s="31" t="s">
        <v>2</v>
      </c>
      <c r="D3" s="32" t="s">
        <v>33</v>
      </c>
      <c r="E3" s="31" t="s">
        <v>2</v>
      </c>
      <c r="F3" s="1" t="s">
        <v>2</v>
      </c>
      <c r="G3" s="1" t="s">
        <v>2</v>
      </c>
      <c r="H3" s="1" t="s">
        <v>2</v>
      </c>
      <c r="I3" s="1" t="s">
        <v>0</v>
      </c>
    </row>
    <row r="4" spans="1:9" x14ac:dyDescent="0.2">
      <c r="A4" s="17">
        <v>2</v>
      </c>
      <c r="B4" s="3" t="s">
        <v>2</v>
      </c>
      <c r="C4" s="33" t="s">
        <v>34</v>
      </c>
      <c r="D4" s="31" t="s">
        <v>2</v>
      </c>
      <c r="E4" s="31" t="s">
        <v>2</v>
      </c>
      <c r="F4" s="104" t="s">
        <v>19</v>
      </c>
      <c r="G4" s="105"/>
      <c r="H4" s="106"/>
      <c r="I4" s="2" t="s">
        <v>1</v>
      </c>
    </row>
    <row r="5" spans="1:9" x14ac:dyDescent="0.2">
      <c r="A5" s="17">
        <v>3</v>
      </c>
      <c r="B5" s="3" t="s">
        <v>2</v>
      </c>
      <c r="C5" s="31" t="s">
        <v>2</v>
      </c>
      <c r="D5" s="31" t="s">
        <v>2</v>
      </c>
      <c r="E5" s="31" t="s">
        <v>2</v>
      </c>
      <c r="F5" s="98" t="s">
        <v>20</v>
      </c>
      <c r="G5" s="99"/>
      <c r="H5" s="100"/>
      <c r="I5" s="3" t="s">
        <v>2</v>
      </c>
    </row>
    <row r="6" spans="1:9" x14ac:dyDescent="0.2">
      <c r="A6" s="17">
        <v>4</v>
      </c>
      <c r="B6" s="3" t="s">
        <v>2</v>
      </c>
      <c r="C6" s="31" t="s">
        <v>2</v>
      </c>
      <c r="D6" s="31" t="s">
        <v>2</v>
      </c>
      <c r="E6" s="31" t="s">
        <v>2</v>
      </c>
      <c r="F6" s="104" t="s">
        <v>19</v>
      </c>
      <c r="G6" s="105"/>
      <c r="H6" s="106"/>
      <c r="I6" s="2" t="s">
        <v>3</v>
      </c>
    </row>
    <row r="7" spans="1:9" x14ac:dyDescent="0.2">
      <c r="A7" s="17">
        <v>5</v>
      </c>
      <c r="B7" s="41" t="s">
        <v>44</v>
      </c>
      <c r="C7" s="31" t="s">
        <v>2</v>
      </c>
      <c r="D7" s="31" t="s">
        <v>2</v>
      </c>
      <c r="E7" s="31" t="s">
        <v>2</v>
      </c>
      <c r="F7" s="1" t="s">
        <v>2</v>
      </c>
      <c r="G7" s="1" t="s">
        <v>2</v>
      </c>
      <c r="H7" s="1" t="s">
        <v>2</v>
      </c>
      <c r="I7" s="4" t="s">
        <v>2</v>
      </c>
    </row>
    <row r="8" spans="1:9" x14ac:dyDescent="0.2">
      <c r="A8" s="17">
        <v>6</v>
      </c>
      <c r="B8" s="3" t="s">
        <v>45</v>
      </c>
      <c r="C8" s="34" t="s">
        <v>2</v>
      </c>
      <c r="D8" s="34" t="s">
        <v>2</v>
      </c>
      <c r="E8" s="34" t="s">
        <v>2</v>
      </c>
      <c r="F8" s="1" t="s">
        <v>2</v>
      </c>
      <c r="G8" s="1" t="s">
        <v>2</v>
      </c>
      <c r="H8" s="1" t="s">
        <v>2</v>
      </c>
      <c r="I8" s="3" t="s">
        <v>2</v>
      </c>
    </row>
    <row r="9" spans="1:9" x14ac:dyDescent="0.2">
      <c r="A9" s="17">
        <v>7</v>
      </c>
      <c r="B9" s="71" t="s">
        <v>46</v>
      </c>
      <c r="C9" s="35" t="s">
        <v>19</v>
      </c>
      <c r="D9" s="35" t="s">
        <v>19</v>
      </c>
      <c r="E9" s="35" t="s">
        <v>35</v>
      </c>
      <c r="F9" s="1" t="s">
        <v>2</v>
      </c>
      <c r="G9" s="1" t="s">
        <v>2</v>
      </c>
      <c r="H9" s="1" t="s">
        <v>2</v>
      </c>
      <c r="I9" s="3" t="s">
        <v>2</v>
      </c>
    </row>
    <row r="10" spans="1:9" x14ac:dyDescent="0.2">
      <c r="A10" s="17">
        <v>8</v>
      </c>
      <c r="B10" s="71" t="s">
        <v>47</v>
      </c>
      <c r="C10" s="34" t="s">
        <v>19</v>
      </c>
      <c r="D10" s="34" t="s">
        <v>2</v>
      </c>
      <c r="E10" s="34" t="s">
        <v>2</v>
      </c>
      <c r="F10" s="1" t="s">
        <v>2</v>
      </c>
      <c r="G10" s="1" t="s">
        <v>2</v>
      </c>
      <c r="H10" s="1" t="s">
        <v>2</v>
      </c>
      <c r="I10" s="2" t="s">
        <v>4</v>
      </c>
    </row>
    <row r="11" spans="1:9" x14ac:dyDescent="0.2">
      <c r="A11" s="17">
        <v>9</v>
      </c>
      <c r="B11" s="43" t="s">
        <v>48</v>
      </c>
      <c r="C11" s="31" t="s">
        <v>36</v>
      </c>
      <c r="D11" s="31" t="s">
        <v>36</v>
      </c>
      <c r="E11" s="31" t="s">
        <v>36</v>
      </c>
      <c r="F11" s="1" t="s">
        <v>2</v>
      </c>
      <c r="G11" s="1" t="s">
        <v>2</v>
      </c>
      <c r="H11" s="1" t="s">
        <v>2</v>
      </c>
      <c r="I11" s="3" t="s">
        <v>2</v>
      </c>
    </row>
    <row r="12" spans="1:9" x14ac:dyDescent="0.2">
      <c r="A12" s="17">
        <v>10</v>
      </c>
      <c r="B12" s="3" t="s">
        <v>2</v>
      </c>
      <c r="C12" s="31" t="s">
        <v>2</v>
      </c>
      <c r="D12" s="31" t="s">
        <v>2</v>
      </c>
      <c r="E12" s="31" t="s">
        <v>2</v>
      </c>
      <c r="F12" s="1" t="s">
        <v>21</v>
      </c>
      <c r="G12" s="1" t="s">
        <v>2</v>
      </c>
      <c r="H12" s="1" t="s">
        <v>2</v>
      </c>
      <c r="I12" s="3" t="s">
        <v>2</v>
      </c>
    </row>
    <row r="13" spans="1:9" x14ac:dyDescent="0.2">
      <c r="A13" s="17">
        <v>11</v>
      </c>
      <c r="B13" s="3" t="s">
        <v>49</v>
      </c>
      <c r="C13" s="31" t="s">
        <v>2</v>
      </c>
      <c r="D13" s="31" t="s">
        <v>2</v>
      </c>
      <c r="E13" s="31" t="s">
        <v>2</v>
      </c>
      <c r="F13" s="1" t="s">
        <v>21</v>
      </c>
      <c r="G13" s="1" t="s">
        <v>2</v>
      </c>
      <c r="H13" s="1" t="s">
        <v>2</v>
      </c>
      <c r="I13" s="3" t="s">
        <v>2</v>
      </c>
    </row>
    <row r="14" spans="1:9" x14ac:dyDescent="0.2">
      <c r="A14" s="17">
        <v>12</v>
      </c>
      <c r="B14" s="71" t="s">
        <v>50</v>
      </c>
      <c r="C14" s="31" t="s">
        <v>2</v>
      </c>
      <c r="D14" s="31" t="s">
        <v>2</v>
      </c>
      <c r="E14" s="31" t="s">
        <v>2</v>
      </c>
      <c r="F14" s="108" t="s">
        <v>22</v>
      </c>
      <c r="G14" s="109"/>
      <c r="H14" s="110"/>
      <c r="I14" s="3" t="s">
        <v>2</v>
      </c>
    </row>
    <row r="15" spans="1:9" x14ac:dyDescent="0.2">
      <c r="A15" s="17">
        <v>13</v>
      </c>
      <c r="B15" s="71" t="s">
        <v>51</v>
      </c>
      <c r="C15" s="33" t="s">
        <v>34</v>
      </c>
      <c r="D15" s="31" t="s">
        <v>2</v>
      </c>
      <c r="E15" s="36" t="s">
        <v>37</v>
      </c>
      <c r="F15" s="1" t="s">
        <v>2</v>
      </c>
      <c r="G15" s="1" t="s">
        <v>2</v>
      </c>
      <c r="H15" s="1" t="s">
        <v>2</v>
      </c>
      <c r="I15" s="5" t="s">
        <v>5</v>
      </c>
    </row>
    <row r="16" spans="1:9" x14ac:dyDescent="0.2">
      <c r="A16" s="17">
        <v>14</v>
      </c>
      <c r="B16" s="3" t="s">
        <v>2</v>
      </c>
      <c r="C16" s="34" t="s">
        <v>2</v>
      </c>
      <c r="D16" s="34" t="s">
        <v>2</v>
      </c>
      <c r="E16" s="34" t="s">
        <v>2</v>
      </c>
      <c r="F16" s="98" t="s">
        <v>23</v>
      </c>
      <c r="G16" s="99"/>
      <c r="H16" s="100"/>
      <c r="I16" s="4"/>
    </row>
    <row r="17" spans="1:9" x14ac:dyDescent="0.2">
      <c r="A17" s="17">
        <v>15</v>
      </c>
      <c r="B17" s="44" t="s">
        <v>52</v>
      </c>
      <c r="C17" s="34" t="s">
        <v>2</v>
      </c>
      <c r="D17" s="34" t="s">
        <v>2</v>
      </c>
      <c r="E17" s="34" t="s">
        <v>2</v>
      </c>
      <c r="F17" s="1" t="s">
        <v>2</v>
      </c>
      <c r="G17" s="1" t="s">
        <v>2</v>
      </c>
      <c r="H17" s="24" t="s">
        <v>24</v>
      </c>
      <c r="I17" s="4"/>
    </row>
    <row r="18" spans="1:9" x14ac:dyDescent="0.2">
      <c r="A18" s="17">
        <v>16</v>
      </c>
      <c r="B18" s="44" t="s">
        <v>53</v>
      </c>
      <c r="C18" s="31" t="s">
        <v>2</v>
      </c>
      <c r="D18" s="31" t="s">
        <v>2</v>
      </c>
      <c r="E18" s="31" t="s">
        <v>2</v>
      </c>
      <c r="F18" s="1" t="s">
        <v>2</v>
      </c>
      <c r="G18" s="1" t="s">
        <v>2</v>
      </c>
      <c r="H18" s="1" t="s">
        <v>2</v>
      </c>
      <c r="I18" s="6" t="s">
        <v>2</v>
      </c>
    </row>
    <row r="19" spans="1:9" x14ac:dyDescent="0.2">
      <c r="A19" s="17">
        <v>17</v>
      </c>
      <c r="B19" s="3" t="s">
        <v>2</v>
      </c>
      <c r="C19" s="31" t="s">
        <v>2</v>
      </c>
      <c r="D19" s="31" t="s">
        <v>2</v>
      </c>
      <c r="E19" s="31" t="s">
        <v>2</v>
      </c>
      <c r="F19" s="101" t="s">
        <v>25</v>
      </c>
      <c r="G19" s="102"/>
      <c r="H19" s="103"/>
      <c r="I19" s="5" t="s">
        <v>6</v>
      </c>
    </row>
    <row r="20" spans="1:9" x14ac:dyDescent="0.2">
      <c r="A20" s="17">
        <v>18</v>
      </c>
      <c r="B20" s="3" t="s">
        <v>2</v>
      </c>
      <c r="C20" s="31" t="s">
        <v>2</v>
      </c>
      <c r="D20" s="31" t="s">
        <v>2</v>
      </c>
      <c r="E20" s="31" t="s">
        <v>2</v>
      </c>
      <c r="F20" s="1" t="s">
        <v>2</v>
      </c>
      <c r="G20" s="1" t="s">
        <v>2</v>
      </c>
      <c r="H20" s="1" t="s">
        <v>2</v>
      </c>
      <c r="I20" s="3" t="s">
        <v>2</v>
      </c>
    </row>
    <row r="21" spans="1:9" x14ac:dyDescent="0.2">
      <c r="A21" s="17">
        <v>19</v>
      </c>
      <c r="B21" s="3" t="s">
        <v>2</v>
      </c>
      <c r="C21" s="31" t="s">
        <v>2</v>
      </c>
      <c r="D21" s="31" t="s">
        <v>2</v>
      </c>
      <c r="E21" s="34" t="s">
        <v>2</v>
      </c>
      <c r="F21" s="104" t="s">
        <v>26</v>
      </c>
      <c r="G21" s="105"/>
      <c r="H21" s="106"/>
      <c r="I21" s="4"/>
    </row>
    <row r="22" spans="1:9" x14ac:dyDescent="0.2">
      <c r="A22" s="17">
        <v>20</v>
      </c>
      <c r="B22" s="43" t="s">
        <v>54</v>
      </c>
      <c r="C22" s="31" t="s">
        <v>2</v>
      </c>
      <c r="D22" s="31" t="s">
        <v>2</v>
      </c>
      <c r="E22" s="31" t="s">
        <v>2</v>
      </c>
      <c r="F22" s="1" t="s">
        <v>2</v>
      </c>
      <c r="G22" s="1" t="s">
        <v>2</v>
      </c>
      <c r="H22" s="25" t="s">
        <v>214</v>
      </c>
      <c r="I22" s="3" t="s">
        <v>2</v>
      </c>
    </row>
    <row r="23" spans="1:9" x14ac:dyDescent="0.2">
      <c r="A23" s="17">
        <v>21</v>
      </c>
      <c r="B23" s="3" t="s">
        <v>55</v>
      </c>
      <c r="C23" s="31" t="s">
        <v>2</v>
      </c>
      <c r="D23" s="31" t="s">
        <v>2</v>
      </c>
      <c r="E23" s="31" t="s">
        <v>2</v>
      </c>
      <c r="F23" s="1" t="s">
        <v>2</v>
      </c>
      <c r="G23" s="26" t="s">
        <v>27</v>
      </c>
      <c r="H23" s="1" t="s">
        <v>2</v>
      </c>
      <c r="I23" s="3" t="s">
        <v>2</v>
      </c>
    </row>
    <row r="24" spans="1:9" x14ac:dyDescent="0.2">
      <c r="A24" s="17">
        <v>22</v>
      </c>
      <c r="B24" s="3" t="s">
        <v>2</v>
      </c>
      <c r="C24" s="31" t="s">
        <v>2</v>
      </c>
      <c r="D24" s="31" t="s">
        <v>2</v>
      </c>
      <c r="E24" s="31" t="s">
        <v>2</v>
      </c>
      <c r="F24" s="101" t="s">
        <v>25</v>
      </c>
      <c r="G24" s="102"/>
      <c r="H24" s="103"/>
      <c r="I24" s="3" t="s">
        <v>2</v>
      </c>
    </row>
    <row r="25" spans="1:9" x14ac:dyDescent="0.2">
      <c r="A25" s="17">
        <v>23</v>
      </c>
      <c r="B25" s="3" t="s">
        <v>2</v>
      </c>
      <c r="C25" s="31" t="s">
        <v>2</v>
      </c>
      <c r="D25" s="31" t="s">
        <v>2</v>
      </c>
      <c r="E25" s="31" t="s">
        <v>2</v>
      </c>
      <c r="F25" s="1" t="s">
        <v>2</v>
      </c>
      <c r="G25" s="1" t="s">
        <v>2</v>
      </c>
      <c r="H25" s="1" t="s">
        <v>2</v>
      </c>
      <c r="I25" s="7" t="s">
        <v>7</v>
      </c>
    </row>
    <row r="26" spans="1:9" x14ac:dyDescent="0.2">
      <c r="A26" s="17">
        <v>24</v>
      </c>
      <c r="B26" s="3" t="s">
        <v>2</v>
      </c>
      <c r="C26" s="31" t="s">
        <v>38</v>
      </c>
      <c r="D26" s="31" t="s">
        <v>39</v>
      </c>
      <c r="E26" s="31" t="s">
        <v>2</v>
      </c>
      <c r="F26" s="27" t="s">
        <v>5</v>
      </c>
      <c r="G26" s="27" t="s">
        <v>28</v>
      </c>
      <c r="H26" s="27" t="s">
        <v>5</v>
      </c>
      <c r="I26" s="8" t="s">
        <v>8</v>
      </c>
    </row>
    <row r="27" spans="1:9" x14ac:dyDescent="0.2">
      <c r="A27" s="17">
        <v>25</v>
      </c>
      <c r="B27" s="3" t="s">
        <v>2</v>
      </c>
      <c r="C27" s="27" t="s">
        <v>40</v>
      </c>
      <c r="D27" s="31" t="s">
        <v>2</v>
      </c>
      <c r="E27" s="36" t="s">
        <v>41</v>
      </c>
      <c r="F27" s="1" t="s">
        <v>2</v>
      </c>
      <c r="G27" s="28" t="s">
        <v>29</v>
      </c>
      <c r="H27" s="1" t="s">
        <v>2</v>
      </c>
      <c r="I27" s="5" t="s">
        <v>9</v>
      </c>
    </row>
    <row r="28" spans="1:9" x14ac:dyDescent="0.2">
      <c r="A28" s="17">
        <v>26</v>
      </c>
      <c r="B28" s="8" t="s">
        <v>56</v>
      </c>
      <c r="C28" s="37" t="s">
        <v>19</v>
      </c>
      <c r="D28" s="37" t="s">
        <v>19</v>
      </c>
      <c r="E28" s="37" t="s">
        <v>42</v>
      </c>
      <c r="F28" s="1" t="s">
        <v>2</v>
      </c>
      <c r="G28" s="1" t="s">
        <v>2</v>
      </c>
      <c r="H28" s="1" t="s">
        <v>2</v>
      </c>
      <c r="I28" s="2" t="s">
        <v>1</v>
      </c>
    </row>
    <row r="29" spans="1:9" x14ac:dyDescent="0.2">
      <c r="A29"/>
      <c r="C29" s="38"/>
      <c r="D29" s="38"/>
      <c r="E29" s="29"/>
      <c r="F29" s="29"/>
      <c r="G29" s="29"/>
      <c r="H29" s="29"/>
      <c r="I29"/>
    </row>
    <row r="30" spans="1:9" x14ac:dyDescent="0.2">
      <c r="A30"/>
      <c r="I30"/>
    </row>
    <row r="31" spans="1:9" x14ac:dyDescent="0.2">
      <c r="A31" s="9" t="s">
        <v>11</v>
      </c>
      <c r="B31" s="45">
        <v>20</v>
      </c>
      <c r="C31" s="9">
        <v>17</v>
      </c>
      <c r="D31" s="9">
        <v>19</v>
      </c>
      <c r="E31" s="9">
        <v>17</v>
      </c>
      <c r="F31" s="9">
        <v>17</v>
      </c>
      <c r="G31" s="9">
        <v>15</v>
      </c>
      <c r="H31" s="9">
        <v>15</v>
      </c>
      <c r="I31" s="9">
        <v>12</v>
      </c>
    </row>
    <row r="32" spans="1:9" x14ac:dyDescent="0.2">
      <c r="A32" s="10" t="s">
        <v>12</v>
      </c>
      <c r="B32" s="46">
        <v>1</v>
      </c>
      <c r="C32" s="10">
        <v>3</v>
      </c>
      <c r="D32" s="10">
        <v>1</v>
      </c>
      <c r="E32" s="10">
        <v>2</v>
      </c>
      <c r="F32" s="10">
        <v>6</v>
      </c>
      <c r="G32" s="10">
        <v>7</v>
      </c>
      <c r="H32" s="10">
        <v>8</v>
      </c>
      <c r="I32" s="10">
        <v>5</v>
      </c>
    </row>
    <row r="33" spans="1:9" x14ac:dyDescent="0.2">
      <c r="A33" s="11" t="s">
        <v>13</v>
      </c>
      <c r="B33" s="47">
        <v>2</v>
      </c>
      <c r="C33" s="11">
        <v>2</v>
      </c>
      <c r="D33" s="11">
        <v>2</v>
      </c>
      <c r="E33" s="11">
        <v>2</v>
      </c>
      <c r="F33" s="11">
        <v>3</v>
      </c>
      <c r="G33" s="11">
        <v>4</v>
      </c>
      <c r="H33" s="11">
        <v>3</v>
      </c>
      <c r="I33" s="11">
        <v>4</v>
      </c>
    </row>
    <row r="34" spans="1:9" x14ac:dyDescent="0.2">
      <c r="A34" s="18" t="s">
        <v>14</v>
      </c>
      <c r="B34" s="30">
        <v>3</v>
      </c>
      <c r="C34" s="12">
        <v>4</v>
      </c>
      <c r="D34" s="30">
        <v>4</v>
      </c>
      <c r="E34" s="30">
        <v>5</v>
      </c>
      <c r="F34" s="12">
        <v>0</v>
      </c>
      <c r="G34" s="30">
        <v>0</v>
      </c>
      <c r="H34" s="30">
        <v>0</v>
      </c>
      <c r="I34" s="12">
        <v>5</v>
      </c>
    </row>
    <row r="35" spans="1:9" x14ac:dyDescent="0.2">
      <c r="A35" s="19" t="s">
        <v>15</v>
      </c>
      <c r="B35" s="48">
        <f t="shared" ref="B35" si="0">SUM(B31:B33)</f>
        <v>23</v>
      </c>
      <c r="C35" s="13">
        <f t="shared" ref="C35:E35" si="1">SUM(C31:C33)</f>
        <v>22</v>
      </c>
      <c r="D35" s="13">
        <f t="shared" si="1"/>
        <v>22</v>
      </c>
      <c r="E35" s="13">
        <f t="shared" si="1"/>
        <v>21</v>
      </c>
      <c r="F35" s="13">
        <f t="shared" ref="F35:H35" si="2">SUM(F31:F34)</f>
        <v>26</v>
      </c>
      <c r="G35" s="13">
        <f t="shared" si="2"/>
        <v>26</v>
      </c>
      <c r="H35" s="13">
        <f t="shared" si="2"/>
        <v>26</v>
      </c>
      <c r="I35" s="13">
        <f t="shared" ref="I35" si="3">SUM(I31:I33)</f>
        <v>21</v>
      </c>
    </row>
    <row r="38" spans="1:9" x14ac:dyDescent="0.2">
      <c r="A38" s="21" t="s">
        <v>61</v>
      </c>
      <c r="B38" s="15">
        <f t="shared" ref="B38" si="4">B31/B35</f>
        <v>0.86956521739130432</v>
      </c>
      <c r="C38" s="97">
        <f>SUM(C31:E31)/SUM(C35:E35)</f>
        <v>0.81538461538461537</v>
      </c>
      <c r="D38" s="97"/>
      <c r="E38" s="97"/>
      <c r="F38" s="97">
        <f>SUM(F31,G31,H31)/SUM(F35:H35)</f>
        <v>0.60256410256410253</v>
      </c>
      <c r="G38" s="97"/>
      <c r="H38" s="97"/>
      <c r="I38" s="15">
        <f t="shared" ref="I38" si="5">I31/I35</f>
        <v>0.5714285714285714</v>
      </c>
    </row>
    <row r="39" spans="1:9" x14ac:dyDescent="0.2">
      <c r="A39" s="22" t="s">
        <v>62</v>
      </c>
      <c r="B39" s="16">
        <f t="shared" ref="B39" si="6">SUM(B31,B32)/B35</f>
        <v>0.91304347826086951</v>
      </c>
      <c r="C39" s="95">
        <f>SUM(C31,D31,E31,E32,D32,C32)/SUM(C35,D35,E35)</f>
        <v>0.90769230769230769</v>
      </c>
      <c r="D39" s="95"/>
      <c r="E39" s="95"/>
      <c r="F39" s="95">
        <f>SUM(F31:H32)/SUM(F35:H35)</f>
        <v>0.87179487179487181</v>
      </c>
      <c r="G39" s="95"/>
      <c r="H39" s="95"/>
      <c r="I39" s="16">
        <f t="shared" ref="I39" si="7">SUM(I31,I32)/I35</f>
        <v>0.80952380952380953</v>
      </c>
    </row>
    <row r="40" spans="1:9" x14ac:dyDescent="0.2">
      <c r="C40"/>
      <c r="D40"/>
      <c r="E40"/>
    </row>
    <row r="41" spans="1:9" x14ac:dyDescent="0.2">
      <c r="C41"/>
      <c r="D41"/>
      <c r="E41"/>
    </row>
    <row r="42" spans="1:9" x14ac:dyDescent="0.2">
      <c r="C42" s="38"/>
      <c r="D42" s="38"/>
      <c r="E42" s="38"/>
    </row>
    <row r="43" spans="1:9" x14ac:dyDescent="0.2">
      <c r="C43" s="38"/>
      <c r="D43" s="38"/>
      <c r="E43" s="38"/>
    </row>
    <row r="44" spans="1:9" x14ac:dyDescent="0.2">
      <c r="C44" s="38"/>
      <c r="D44" s="38"/>
      <c r="E44" s="38"/>
    </row>
    <row r="45" spans="1:9" x14ac:dyDescent="0.2">
      <c r="C45" s="14"/>
      <c r="D45" s="14"/>
      <c r="F45"/>
      <c r="G45"/>
      <c r="H45"/>
      <c r="I45"/>
    </row>
    <row r="46" spans="1:9" x14ac:dyDescent="0.2">
      <c r="C46" s="14"/>
      <c r="D46" s="14"/>
      <c r="F46"/>
      <c r="G46"/>
      <c r="H46"/>
      <c r="I46"/>
    </row>
  </sheetData>
  <mergeCells count="17">
    <mergeCell ref="A1:A2"/>
    <mergeCell ref="F4:H4"/>
    <mergeCell ref="F5:H5"/>
    <mergeCell ref="F6:H6"/>
    <mergeCell ref="F14:H14"/>
    <mergeCell ref="F1:H1"/>
    <mergeCell ref="B1:B2"/>
    <mergeCell ref="I1:I2"/>
    <mergeCell ref="F39:H39"/>
    <mergeCell ref="C1:E1"/>
    <mergeCell ref="C38:E38"/>
    <mergeCell ref="C39:E39"/>
    <mergeCell ref="F16:H16"/>
    <mergeCell ref="F19:H19"/>
    <mergeCell ref="F21:H21"/>
    <mergeCell ref="F24:H24"/>
    <mergeCell ref="F38:H3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9045-2223-464F-9295-BB5048496D6E}">
  <dimension ref="A1:I43"/>
  <sheetViews>
    <sheetView topLeftCell="E1" zoomScale="125" zoomScaleNormal="200" workbookViewId="0">
      <selection activeCell="F8" sqref="F8"/>
    </sheetView>
  </sheetViews>
  <sheetFormatPr baseColWidth="10" defaultRowHeight="16" x14ac:dyDescent="0.2"/>
  <cols>
    <col min="2" max="7" width="20.83203125" customWidth="1"/>
    <col min="8" max="8" width="43.6640625" customWidth="1"/>
    <col min="9" max="9" width="21" customWidth="1"/>
  </cols>
  <sheetData>
    <row r="1" spans="1:9" x14ac:dyDescent="0.2">
      <c r="A1" s="107" t="s">
        <v>10</v>
      </c>
      <c r="B1" s="115" t="s">
        <v>57</v>
      </c>
      <c r="C1" s="96" t="s">
        <v>58</v>
      </c>
      <c r="D1" s="96"/>
      <c r="E1" s="96"/>
      <c r="F1" s="111" t="s">
        <v>59</v>
      </c>
      <c r="G1" s="112"/>
      <c r="H1" s="113"/>
      <c r="I1" s="93" t="s">
        <v>60</v>
      </c>
    </row>
    <row r="2" spans="1:9" x14ac:dyDescent="0.2">
      <c r="A2" s="107"/>
      <c r="B2" s="116"/>
      <c r="C2" s="49" t="s">
        <v>30</v>
      </c>
      <c r="D2" s="49" t="s">
        <v>31</v>
      </c>
      <c r="E2" s="49" t="s">
        <v>32</v>
      </c>
      <c r="F2" s="49" t="s">
        <v>16</v>
      </c>
      <c r="G2" s="49" t="s">
        <v>17</v>
      </c>
      <c r="H2" s="49" t="s">
        <v>18</v>
      </c>
      <c r="I2" s="94"/>
    </row>
    <row r="3" spans="1:9" x14ac:dyDescent="0.2">
      <c r="A3" s="17">
        <v>1</v>
      </c>
      <c r="B3" s="53" t="s">
        <v>64</v>
      </c>
      <c r="C3" s="42" t="s">
        <v>113</v>
      </c>
      <c r="D3" s="3" t="s">
        <v>2</v>
      </c>
      <c r="E3" s="53" t="s">
        <v>112</v>
      </c>
      <c r="F3" s="3" t="s">
        <v>2</v>
      </c>
      <c r="G3" s="3" t="s">
        <v>2</v>
      </c>
      <c r="H3" s="3" t="s">
        <v>2</v>
      </c>
      <c r="I3" s="53" t="s">
        <v>75</v>
      </c>
    </row>
    <row r="4" spans="1:9" x14ac:dyDescent="0.2">
      <c r="A4" s="17">
        <v>2</v>
      </c>
      <c r="B4" s="3" t="s">
        <v>2</v>
      </c>
      <c r="C4" s="3" t="s">
        <v>2</v>
      </c>
      <c r="D4" s="53" t="s">
        <v>114</v>
      </c>
      <c r="E4" s="3" t="s">
        <v>2</v>
      </c>
      <c r="F4" s="3" t="s">
        <v>2</v>
      </c>
      <c r="G4" s="3" t="s">
        <v>2</v>
      </c>
      <c r="H4" s="3" t="s">
        <v>2</v>
      </c>
      <c r="I4" s="53" t="s">
        <v>41</v>
      </c>
    </row>
    <row r="5" spans="1:9" x14ac:dyDescent="0.2">
      <c r="A5" s="17">
        <v>3</v>
      </c>
      <c r="B5" s="3" t="s">
        <v>2</v>
      </c>
      <c r="C5" s="3" t="s">
        <v>2</v>
      </c>
      <c r="D5" s="3" t="s">
        <v>2</v>
      </c>
      <c r="E5" s="3" t="s">
        <v>2</v>
      </c>
      <c r="F5" s="60" t="s">
        <v>90</v>
      </c>
      <c r="G5" s="60" t="s">
        <v>90</v>
      </c>
      <c r="H5" s="60" t="s">
        <v>91</v>
      </c>
      <c r="I5" s="3" t="s">
        <v>76</v>
      </c>
    </row>
    <row r="6" spans="1:9" x14ac:dyDescent="0.2">
      <c r="A6" s="17">
        <v>4</v>
      </c>
      <c r="B6" s="3" t="s">
        <v>2</v>
      </c>
      <c r="C6" s="42" t="s">
        <v>115</v>
      </c>
      <c r="D6" s="3" t="s">
        <v>2</v>
      </c>
      <c r="E6" s="53" t="s">
        <v>112</v>
      </c>
      <c r="F6" s="53" t="s">
        <v>87</v>
      </c>
      <c r="G6" s="53" t="s">
        <v>87</v>
      </c>
      <c r="H6" s="53" t="s">
        <v>87</v>
      </c>
      <c r="I6" s="52" t="s">
        <v>77</v>
      </c>
    </row>
    <row r="7" spans="1:9" x14ac:dyDescent="0.2">
      <c r="A7" s="17">
        <v>5</v>
      </c>
      <c r="B7" s="57" t="s">
        <v>65</v>
      </c>
      <c r="C7" s="3" t="s">
        <v>2</v>
      </c>
      <c r="D7" s="3" t="s">
        <v>2</v>
      </c>
      <c r="E7" s="3" t="s">
        <v>2</v>
      </c>
      <c r="F7" s="52" t="s">
        <v>92</v>
      </c>
      <c r="G7" s="52" t="s">
        <v>92</v>
      </c>
      <c r="H7" s="52" t="s">
        <v>92</v>
      </c>
      <c r="I7" s="57" t="s">
        <v>78</v>
      </c>
    </row>
    <row r="8" spans="1:9" x14ac:dyDescent="0.2">
      <c r="A8" s="17">
        <v>6</v>
      </c>
      <c r="B8" s="3" t="s">
        <v>2</v>
      </c>
      <c r="C8" s="51" t="s">
        <v>2</v>
      </c>
      <c r="D8" s="51" t="s">
        <v>2</v>
      </c>
      <c r="E8" s="51" t="s">
        <v>2</v>
      </c>
      <c r="F8" s="3" t="s">
        <v>93</v>
      </c>
      <c r="G8" s="3" t="s">
        <v>93</v>
      </c>
      <c r="H8" s="3" t="s">
        <v>93</v>
      </c>
      <c r="I8" s="52" t="s">
        <v>79</v>
      </c>
    </row>
    <row r="9" spans="1:9" x14ac:dyDescent="0.2">
      <c r="A9" s="17">
        <v>7</v>
      </c>
      <c r="B9" s="3" t="s">
        <v>2</v>
      </c>
      <c r="C9" s="52" t="s">
        <v>77</v>
      </c>
      <c r="D9" s="52" t="s">
        <v>77</v>
      </c>
      <c r="E9" s="52" t="s">
        <v>77</v>
      </c>
      <c r="F9" s="3" t="s">
        <v>2</v>
      </c>
      <c r="G9" s="3" t="s">
        <v>2</v>
      </c>
      <c r="H9" s="3" t="s">
        <v>2</v>
      </c>
      <c r="I9" s="52" t="s">
        <v>79</v>
      </c>
    </row>
    <row r="10" spans="1:9" x14ac:dyDescent="0.2">
      <c r="A10" s="17">
        <v>8</v>
      </c>
      <c r="B10" s="52" t="s">
        <v>63</v>
      </c>
      <c r="C10" s="51" t="s">
        <v>2</v>
      </c>
      <c r="D10" s="51" t="s">
        <v>2</v>
      </c>
      <c r="E10" s="51" t="s">
        <v>2</v>
      </c>
      <c r="F10" s="3" t="s">
        <v>2</v>
      </c>
      <c r="G10" s="52" t="s">
        <v>94</v>
      </c>
      <c r="H10" s="3" t="s">
        <v>2</v>
      </c>
      <c r="I10" s="53" t="s">
        <v>71</v>
      </c>
    </row>
    <row r="11" spans="1:9" x14ac:dyDescent="0.2">
      <c r="A11" s="17">
        <v>9</v>
      </c>
      <c r="B11" s="53" t="s">
        <v>66</v>
      </c>
      <c r="C11" s="3" t="s">
        <v>2</v>
      </c>
      <c r="D11" s="3" t="s">
        <v>2</v>
      </c>
      <c r="E11" s="3" t="s">
        <v>2</v>
      </c>
      <c r="F11" s="61" t="s">
        <v>95</v>
      </c>
      <c r="G11" s="61" t="s">
        <v>96</v>
      </c>
      <c r="H11" s="61" t="s">
        <v>97</v>
      </c>
      <c r="I11" s="3" t="s">
        <v>2</v>
      </c>
    </row>
    <row r="12" spans="1:9" x14ac:dyDescent="0.2">
      <c r="A12" s="17">
        <v>10</v>
      </c>
      <c r="B12" s="66" t="s">
        <v>67</v>
      </c>
      <c r="C12" s="3" t="s">
        <v>2</v>
      </c>
      <c r="D12" s="3" t="s">
        <v>2</v>
      </c>
      <c r="E12" s="3" t="s">
        <v>2</v>
      </c>
      <c r="F12" s="53" t="s">
        <v>98</v>
      </c>
      <c r="G12" s="53" t="s">
        <v>99</v>
      </c>
      <c r="H12" s="53" t="s">
        <v>99</v>
      </c>
      <c r="I12" s="3" t="s">
        <v>2</v>
      </c>
    </row>
    <row r="13" spans="1:9" x14ac:dyDescent="0.2">
      <c r="A13" s="17">
        <v>11</v>
      </c>
      <c r="B13" s="52" t="s">
        <v>63</v>
      </c>
      <c r="C13" s="3" t="s">
        <v>2</v>
      </c>
      <c r="D13" s="3" t="s">
        <v>2</v>
      </c>
      <c r="E13" s="3" t="s">
        <v>2</v>
      </c>
      <c r="F13" s="61" t="s">
        <v>100</v>
      </c>
      <c r="G13" s="61" t="s">
        <v>100</v>
      </c>
      <c r="H13" s="61" t="s">
        <v>100</v>
      </c>
      <c r="I13" s="53" t="s">
        <v>83</v>
      </c>
    </row>
    <row r="14" spans="1:9" x14ac:dyDescent="0.2">
      <c r="A14" s="17">
        <v>12</v>
      </c>
      <c r="B14" s="66" t="s">
        <v>68</v>
      </c>
      <c r="C14" s="3" t="s">
        <v>2</v>
      </c>
      <c r="D14" s="3" t="s">
        <v>2</v>
      </c>
      <c r="E14" s="3" t="s">
        <v>2</v>
      </c>
      <c r="F14" s="60" t="s">
        <v>90</v>
      </c>
      <c r="G14" s="60" t="s">
        <v>90</v>
      </c>
      <c r="H14" s="61" t="s">
        <v>101</v>
      </c>
      <c r="I14" s="53" t="s">
        <v>80</v>
      </c>
    </row>
    <row r="15" spans="1:9" x14ac:dyDescent="0.2">
      <c r="A15" s="17">
        <v>13</v>
      </c>
      <c r="B15" s="3" t="s">
        <v>2</v>
      </c>
      <c r="C15" s="52" t="s">
        <v>77</v>
      </c>
      <c r="D15" s="52" t="s">
        <v>77</v>
      </c>
      <c r="E15" s="52" t="s">
        <v>77</v>
      </c>
      <c r="F15" s="53" t="s">
        <v>102</v>
      </c>
      <c r="G15" s="53" t="s">
        <v>102</v>
      </c>
      <c r="H15" s="53" t="s">
        <v>102</v>
      </c>
      <c r="I15" s="3" t="s">
        <v>2</v>
      </c>
    </row>
    <row r="16" spans="1:9" x14ac:dyDescent="0.2">
      <c r="A16" s="17">
        <v>14</v>
      </c>
      <c r="B16" s="3" t="s">
        <v>2</v>
      </c>
      <c r="C16" s="51" t="s">
        <v>2</v>
      </c>
      <c r="D16" s="51" t="s">
        <v>2</v>
      </c>
      <c r="E16" s="51" t="s">
        <v>2</v>
      </c>
      <c r="F16" s="60" t="s">
        <v>103</v>
      </c>
      <c r="G16" s="60" t="s">
        <v>103</v>
      </c>
      <c r="H16" s="60" t="s">
        <v>103</v>
      </c>
      <c r="I16" s="50" t="s">
        <v>81</v>
      </c>
    </row>
    <row r="17" spans="1:9" x14ac:dyDescent="0.2">
      <c r="A17" s="17">
        <v>15</v>
      </c>
      <c r="B17" s="58" t="s">
        <v>63</v>
      </c>
      <c r="C17" s="51" t="s">
        <v>2</v>
      </c>
      <c r="D17" s="51" t="s">
        <v>2</v>
      </c>
      <c r="E17" s="51" t="s">
        <v>2</v>
      </c>
      <c r="F17" s="60" t="s">
        <v>103</v>
      </c>
      <c r="G17" s="60" t="s">
        <v>103</v>
      </c>
      <c r="H17" s="60" t="s">
        <v>103</v>
      </c>
      <c r="I17" s="50" t="s">
        <v>82</v>
      </c>
    </row>
    <row r="18" spans="1:9" x14ac:dyDescent="0.2">
      <c r="A18" s="17">
        <v>16</v>
      </c>
      <c r="B18" s="58" t="s">
        <v>69</v>
      </c>
      <c r="C18" s="42" t="s">
        <v>113</v>
      </c>
      <c r="D18" s="3" t="s">
        <v>2</v>
      </c>
      <c r="E18" s="53" t="s">
        <v>112</v>
      </c>
      <c r="F18" s="3" t="s">
        <v>104</v>
      </c>
      <c r="G18" s="3" t="s">
        <v>104</v>
      </c>
      <c r="H18" s="3" t="s">
        <v>104</v>
      </c>
      <c r="I18" s="59" t="s">
        <v>2</v>
      </c>
    </row>
    <row r="19" spans="1:9" x14ac:dyDescent="0.2">
      <c r="A19" s="17">
        <v>17</v>
      </c>
      <c r="B19" s="66" t="s">
        <v>70</v>
      </c>
      <c r="C19" s="3" t="s">
        <v>2</v>
      </c>
      <c r="D19" s="3" t="s">
        <v>2</v>
      </c>
      <c r="E19" s="3" t="s">
        <v>2</v>
      </c>
      <c r="F19" s="53" t="s">
        <v>102</v>
      </c>
      <c r="G19" s="53" t="s">
        <v>105</v>
      </c>
      <c r="H19" s="53" t="s">
        <v>105</v>
      </c>
      <c r="I19" s="53" t="s">
        <v>83</v>
      </c>
    </row>
    <row r="20" spans="1:9" x14ac:dyDescent="0.2">
      <c r="A20" s="17">
        <v>18</v>
      </c>
      <c r="B20" s="3" t="s">
        <v>2</v>
      </c>
      <c r="C20" s="3" t="s">
        <v>116</v>
      </c>
      <c r="D20" s="3" t="s">
        <v>2</v>
      </c>
      <c r="E20" s="3" t="s">
        <v>117</v>
      </c>
      <c r="F20" s="3" t="s">
        <v>104</v>
      </c>
      <c r="G20" s="3" t="s">
        <v>104</v>
      </c>
      <c r="H20" s="3" t="s">
        <v>104</v>
      </c>
      <c r="I20" s="53" t="s">
        <v>84</v>
      </c>
    </row>
    <row r="21" spans="1:9" x14ac:dyDescent="0.2">
      <c r="A21" s="17">
        <v>19</v>
      </c>
      <c r="B21" s="53" t="s">
        <v>71</v>
      </c>
      <c r="C21" s="3" t="s">
        <v>2</v>
      </c>
      <c r="D21" s="3" t="s">
        <v>2</v>
      </c>
      <c r="E21" s="51" t="s">
        <v>2</v>
      </c>
      <c r="F21" s="53" t="s">
        <v>102</v>
      </c>
      <c r="G21" s="53" t="s">
        <v>102</v>
      </c>
      <c r="H21" s="53" t="s">
        <v>102</v>
      </c>
      <c r="I21" s="50" t="s">
        <v>85</v>
      </c>
    </row>
    <row r="22" spans="1:9" x14ac:dyDescent="0.2">
      <c r="A22" s="17">
        <v>20</v>
      </c>
      <c r="B22" s="53" t="s">
        <v>72</v>
      </c>
      <c r="C22" s="3" t="s">
        <v>116</v>
      </c>
      <c r="D22" s="3" t="s">
        <v>2</v>
      </c>
      <c r="E22" s="53" t="s">
        <v>112</v>
      </c>
      <c r="F22" s="42" t="s">
        <v>107</v>
      </c>
      <c r="G22" s="42" t="s">
        <v>107</v>
      </c>
      <c r="H22" s="53" t="s">
        <v>106</v>
      </c>
      <c r="I22" s="53" t="s">
        <v>83</v>
      </c>
    </row>
    <row r="23" spans="1:9" x14ac:dyDescent="0.2">
      <c r="A23" s="17">
        <v>21</v>
      </c>
      <c r="B23" s="53" t="s">
        <v>71</v>
      </c>
      <c r="C23" s="52" t="s">
        <v>119</v>
      </c>
      <c r="D23" s="52" t="s">
        <v>118</v>
      </c>
      <c r="E23" s="52" t="s">
        <v>119</v>
      </c>
      <c r="F23" s="61" t="s">
        <v>108</v>
      </c>
      <c r="G23" s="52" t="s">
        <v>109</v>
      </c>
      <c r="H23" s="61" t="s">
        <v>108</v>
      </c>
      <c r="I23" s="3" t="s">
        <v>2</v>
      </c>
    </row>
    <row r="24" spans="1:9" x14ac:dyDescent="0.2">
      <c r="A24" s="17">
        <v>22</v>
      </c>
      <c r="B24" s="3" t="s">
        <v>2</v>
      </c>
      <c r="C24" s="3" t="s">
        <v>2</v>
      </c>
      <c r="D24" s="3" t="s">
        <v>2</v>
      </c>
      <c r="E24" s="3" t="s">
        <v>2</v>
      </c>
      <c r="F24" s="53" t="s">
        <v>102</v>
      </c>
      <c r="G24" s="53" t="s">
        <v>102</v>
      </c>
      <c r="H24" s="53" t="s">
        <v>102</v>
      </c>
      <c r="I24" s="53" t="s">
        <v>86</v>
      </c>
    </row>
    <row r="25" spans="1:9" x14ac:dyDescent="0.2">
      <c r="A25" s="17">
        <v>23</v>
      </c>
      <c r="B25" s="53" t="s">
        <v>73</v>
      </c>
      <c r="C25" s="42" t="s">
        <v>120</v>
      </c>
      <c r="D25" s="3" t="s">
        <v>2</v>
      </c>
      <c r="E25" s="42" t="s">
        <v>121</v>
      </c>
      <c r="F25" s="61" t="s">
        <v>108</v>
      </c>
      <c r="G25" s="61" t="s">
        <v>108</v>
      </c>
      <c r="H25" s="61" t="s">
        <v>108</v>
      </c>
      <c r="I25" s="53" t="s">
        <v>87</v>
      </c>
    </row>
    <row r="26" spans="1:9" x14ac:dyDescent="0.2">
      <c r="A26" s="17">
        <v>24</v>
      </c>
      <c r="B26" s="3" t="s">
        <v>2</v>
      </c>
      <c r="C26" s="42" t="s">
        <v>120</v>
      </c>
      <c r="D26" s="3" t="s">
        <v>2</v>
      </c>
      <c r="E26" s="42" t="s">
        <v>121</v>
      </c>
      <c r="F26" s="3" t="s">
        <v>2</v>
      </c>
      <c r="G26" s="3" t="s">
        <v>2</v>
      </c>
      <c r="H26" s="62" t="s">
        <v>110</v>
      </c>
      <c r="I26" s="53" t="s">
        <v>88</v>
      </c>
    </row>
    <row r="27" spans="1:9" x14ac:dyDescent="0.2">
      <c r="A27" s="17">
        <v>25</v>
      </c>
      <c r="B27" s="53" t="s">
        <v>64</v>
      </c>
      <c r="C27" s="3" t="s">
        <v>2</v>
      </c>
      <c r="D27" s="42" t="s">
        <v>122</v>
      </c>
      <c r="E27" s="3" t="s">
        <v>2</v>
      </c>
      <c r="F27" s="62" t="s">
        <v>111</v>
      </c>
      <c r="G27" s="62" t="s">
        <v>90</v>
      </c>
      <c r="H27" s="62" t="s">
        <v>90</v>
      </c>
      <c r="I27" s="53" t="s">
        <v>89</v>
      </c>
    </row>
    <row r="28" spans="1:9" x14ac:dyDescent="0.2">
      <c r="A28" s="17">
        <v>26</v>
      </c>
      <c r="B28" s="53" t="s">
        <v>74</v>
      </c>
      <c r="C28" s="42" t="s">
        <v>121</v>
      </c>
      <c r="D28" s="52" t="s">
        <v>124</v>
      </c>
      <c r="E28" s="52" t="s">
        <v>123</v>
      </c>
      <c r="F28" s="3" t="s">
        <v>2</v>
      </c>
      <c r="G28" s="3" t="s">
        <v>2</v>
      </c>
      <c r="H28" s="3" t="s">
        <v>2</v>
      </c>
      <c r="I28" s="53" t="s">
        <v>88</v>
      </c>
    </row>
    <row r="29" spans="1:9" x14ac:dyDescent="0.2">
      <c r="C29" s="38"/>
      <c r="D29" s="38"/>
      <c r="E29" s="29"/>
      <c r="F29" s="29"/>
      <c r="G29" s="29"/>
      <c r="H29" s="29"/>
    </row>
    <row r="30" spans="1:9" x14ac:dyDescent="0.2">
      <c r="C30" s="39"/>
      <c r="D30" s="39"/>
      <c r="E30" s="14"/>
      <c r="F30" s="14"/>
      <c r="G30" s="14"/>
      <c r="H30" s="14"/>
    </row>
    <row r="31" spans="1:9" x14ac:dyDescent="0.2">
      <c r="A31" s="9" t="s">
        <v>11</v>
      </c>
      <c r="B31" s="45">
        <v>13</v>
      </c>
      <c r="C31" s="9">
        <v>13</v>
      </c>
      <c r="D31" s="9">
        <v>16</v>
      </c>
      <c r="E31" s="9">
        <v>11</v>
      </c>
      <c r="F31" s="9">
        <v>9</v>
      </c>
      <c r="G31" s="9">
        <v>8</v>
      </c>
      <c r="H31" s="9">
        <v>8</v>
      </c>
      <c r="I31" s="9">
        <v>5</v>
      </c>
    </row>
    <row r="32" spans="1:9" x14ac:dyDescent="0.2">
      <c r="A32" s="10" t="s">
        <v>12</v>
      </c>
      <c r="B32" s="46">
        <v>8</v>
      </c>
      <c r="C32" s="10">
        <v>6</v>
      </c>
      <c r="D32" s="10">
        <v>2</v>
      </c>
      <c r="E32" s="10">
        <v>6</v>
      </c>
      <c r="F32" s="10">
        <v>16</v>
      </c>
      <c r="G32" s="10">
        <v>15</v>
      </c>
      <c r="H32" s="10">
        <v>17</v>
      </c>
      <c r="I32" s="10">
        <v>13</v>
      </c>
    </row>
    <row r="33" spans="1:9" x14ac:dyDescent="0.2">
      <c r="A33" s="11" t="s">
        <v>13</v>
      </c>
      <c r="B33" s="47">
        <v>2</v>
      </c>
      <c r="C33" s="11">
        <v>3</v>
      </c>
      <c r="D33" s="11">
        <v>4</v>
      </c>
      <c r="E33" s="11">
        <v>4</v>
      </c>
      <c r="F33" s="11">
        <v>1</v>
      </c>
      <c r="G33" s="11">
        <v>3</v>
      </c>
      <c r="H33" s="11">
        <v>1</v>
      </c>
      <c r="I33" s="11">
        <v>3</v>
      </c>
    </row>
    <row r="34" spans="1:9" x14ac:dyDescent="0.2">
      <c r="A34" s="18" t="s">
        <v>14</v>
      </c>
      <c r="B34" s="30">
        <v>3</v>
      </c>
      <c r="C34" s="12">
        <v>4</v>
      </c>
      <c r="D34" s="30">
        <v>4</v>
      </c>
      <c r="E34" s="30">
        <v>5</v>
      </c>
      <c r="F34" s="12">
        <v>0</v>
      </c>
      <c r="G34" s="30">
        <v>0</v>
      </c>
      <c r="H34" s="30">
        <v>0</v>
      </c>
      <c r="I34" s="12">
        <v>5</v>
      </c>
    </row>
    <row r="35" spans="1:9" x14ac:dyDescent="0.2">
      <c r="A35" s="19" t="s">
        <v>15</v>
      </c>
      <c r="B35" s="48">
        <f t="shared" ref="B35" si="0">SUM(B31:B33)</f>
        <v>23</v>
      </c>
      <c r="C35" s="13">
        <f t="shared" ref="C35:E35" si="1">SUM(C31:C33)</f>
        <v>22</v>
      </c>
      <c r="D35" s="13">
        <f t="shared" si="1"/>
        <v>22</v>
      </c>
      <c r="E35" s="13">
        <f t="shared" si="1"/>
        <v>21</v>
      </c>
      <c r="F35" s="13">
        <f t="shared" ref="F35:H35" si="2">SUM(F31:F34)</f>
        <v>26</v>
      </c>
      <c r="G35" s="13">
        <f t="shared" si="2"/>
        <v>26</v>
      </c>
      <c r="H35" s="13">
        <f t="shared" si="2"/>
        <v>26</v>
      </c>
      <c r="I35" s="13">
        <f t="shared" ref="I35" si="3">SUM(I31:I33)</f>
        <v>21</v>
      </c>
    </row>
    <row r="36" spans="1:9" x14ac:dyDescent="0.2">
      <c r="A36" s="20"/>
      <c r="C36" s="39"/>
      <c r="D36" s="39"/>
      <c r="E36" s="14"/>
      <c r="F36" s="14"/>
      <c r="G36" s="14"/>
      <c r="H36" s="14"/>
      <c r="I36" s="14"/>
    </row>
    <row r="37" spans="1:9" x14ac:dyDescent="0.2">
      <c r="A37" s="20"/>
      <c r="C37" s="39"/>
      <c r="D37" s="39"/>
      <c r="E37" s="14"/>
      <c r="F37" s="14"/>
      <c r="G37" s="14"/>
      <c r="H37" s="14"/>
      <c r="I37" s="14"/>
    </row>
    <row r="38" spans="1:9" x14ac:dyDescent="0.2">
      <c r="A38" s="21" t="s">
        <v>61</v>
      </c>
      <c r="B38" s="54">
        <f t="shared" ref="B38" si="4">B31/B35</f>
        <v>0.56521739130434778</v>
      </c>
      <c r="C38" s="97">
        <f>SUM(C31:E31)/SUM(C35:E35)</f>
        <v>0.61538461538461542</v>
      </c>
      <c r="D38" s="97"/>
      <c r="E38" s="97"/>
      <c r="F38" s="97">
        <f>SUM(F31,G31,H31)/SUM(F35:H35)</f>
        <v>0.32051282051282054</v>
      </c>
      <c r="G38" s="97"/>
      <c r="H38" s="97"/>
      <c r="I38" s="54">
        <f t="shared" ref="I38" si="5">I31/I35</f>
        <v>0.23809523809523808</v>
      </c>
    </row>
    <row r="39" spans="1:9" x14ac:dyDescent="0.2">
      <c r="A39" s="22" t="s">
        <v>62</v>
      </c>
      <c r="B39" s="55">
        <f t="shared" ref="B39" si="6">SUM(B31,B32)/B35</f>
        <v>0.91304347826086951</v>
      </c>
      <c r="C39" s="95">
        <f>SUM(C31,D31,E31,E32,D32,C32)/SUM(C35,D35,E35)</f>
        <v>0.83076923076923082</v>
      </c>
      <c r="D39" s="95"/>
      <c r="E39" s="95"/>
      <c r="F39" s="95">
        <f>SUM(F31:H32)/SUM(F35:H35)</f>
        <v>0.9358974358974359</v>
      </c>
      <c r="G39" s="95"/>
      <c r="H39" s="95"/>
      <c r="I39" s="55">
        <f t="shared" ref="I39" si="7">SUM(I31,I32)/I35</f>
        <v>0.8571428571428571</v>
      </c>
    </row>
    <row r="43" spans="1:9" x14ac:dyDescent="0.2">
      <c r="D43">
        <v>6</v>
      </c>
      <c r="F43">
        <v>3</v>
      </c>
      <c r="I43">
        <v>1</v>
      </c>
    </row>
  </sheetData>
  <mergeCells count="9">
    <mergeCell ref="F39:H39"/>
    <mergeCell ref="C39:E39"/>
    <mergeCell ref="A1:A2"/>
    <mergeCell ref="I1:I2"/>
    <mergeCell ref="F1:H1"/>
    <mergeCell ref="C1:E1"/>
    <mergeCell ref="B1:B2"/>
    <mergeCell ref="F38:H38"/>
    <mergeCell ref="C38:E38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56B5D-19E4-2049-A679-D166F48BE75D}">
  <dimension ref="A1:I59"/>
  <sheetViews>
    <sheetView zoomScale="160" zoomScaleNormal="160" workbookViewId="0">
      <selection activeCell="D10" sqref="D10"/>
    </sheetView>
  </sheetViews>
  <sheetFormatPr baseColWidth="10" defaultRowHeight="16" x14ac:dyDescent="0.2"/>
  <cols>
    <col min="2" max="7" width="20.83203125" customWidth="1"/>
    <col min="8" max="8" width="20.6640625" customWidth="1"/>
    <col min="9" max="9" width="21" customWidth="1"/>
  </cols>
  <sheetData>
    <row r="1" spans="1:9" x14ac:dyDescent="0.2">
      <c r="A1" s="117" t="s">
        <v>10</v>
      </c>
      <c r="B1" s="123" t="s">
        <v>57</v>
      </c>
      <c r="C1" s="125" t="s">
        <v>58</v>
      </c>
      <c r="D1" s="126"/>
      <c r="E1" s="126"/>
      <c r="F1" s="120" t="s">
        <v>59</v>
      </c>
      <c r="G1" s="121"/>
      <c r="H1" s="122"/>
      <c r="I1" s="119" t="s">
        <v>60</v>
      </c>
    </row>
    <row r="2" spans="1:9" x14ac:dyDescent="0.2">
      <c r="A2" s="118"/>
      <c r="B2" s="124"/>
      <c r="C2" s="49" t="s">
        <v>30</v>
      </c>
      <c r="D2" s="49" t="s">
        <v>31</v>
      </c>
      <c r="E2" s="49" t="s">
        <v>32</v>
      </c>
      <c r="F2" s="49" t="s">
        <v>16</v>
      </c>
      <c r="G2" s="49" t="s">
        <v>17</v>
      </c>
      <c r="H2" s="49" t="s">
        <v>18</v>
      </c>
      <c r="I2" s="119"/>
    </row>
    <row r="3" spans="1:9" x14ac:dyDescent="0.2">
      <c r="A3" s="17">
        <v>1</v>
      </c>
      <c r="B3" s="53" t="s">
        <v>139</v>
      </c>
      <c r="C3" s="53" t="s">
        <v>155</v>
      </c>
      <c r="D3" s="53" t="s">
        <v>155</v>
      </c>
      <c r="E3" s="53" t="s">
        <v>155</v>
      </c>
      <c r="F3" s="69" t="s">
        <v>134</v>
      </c>
      <c r="G3" s="69" t="s">
        <v>134</v>
      </c>
      <c r="H3" s="69" t="s">
        <v>134</v>
      </c>
      <c r="I3" s="69" t="s">
        <v>134</v>
      </c>
    </row>
    <row r="4" spans="1:9" x14ac:dyDescent="0.2">
      <c r="A4" s="17">
        <v>2</v>
      </c>
      <c r="B4" s="53" t="s">
        <v>138</v>
      </c>
      <c r="C4" s="53" t="s">
        <v>155</v>
      </c>
      <c r="D4" s="53" t="s">
        <v>155</v>
      </c>
      <c r="E4" s="53" t="s">
        <v>155</v>
      </c>
      <c r="F4" s="53" t="s">
        <v>155</v>
      </c>
      <c r="G4" s="53" t="s">
        <v>155</v>
      </c>
      <c r="H4" s="53" t="s">
        <v>155</v>
      </c>
      <c r="I4" s="69" t="s">
        <v>134</v>
      </c>
    </row>
    <row r="5" spans="1:9" x14ac:dyDescent="0.2">
      <c r="A5" s="17">
        <v>3</v>
      </c>
      <c r="B5" s="66" t="s">
        <v>2</v>
      </c>
      <c r="C5" s="66" t="s">
        <v>2</v>
      </c>
      <c r="D5" s="66" t="s">
        <v>2</v>
      </c>
      <c r="E5" s="66" t="s">
        <v>2</v>
      </c>
      <c r="F5" s="53" t="s">
        <v>165</v>
      </c>
      <c r="G5" s="53" t="s">
        <v>165</v>
      </c>
      <c r="H5" s="53" t="s">
        <v>165</v>
      </c>
      <c r="I5" s="69" t="s">
        <v>134</v>
      </c>
    </row>
    <row r="6" spans="1:9" x14ac:dyDescent="0.2">
      <c r="A6" s="17">
        <v>4</v>
      </c>
      <c r="B6" s="66" t="s">
        <v>134</v>
      </c>
      <c r="C6" s="53" t="s">
        <v>156</v>
      </c>
      <c r="D6" s="53" t="s">
        <v>156</v>
      </c>
      <c r="E6" s="53" t="s">
        <v>156</v>
      </c>
      <c r="F6" s="69" t="s">
        <v>134</v>
      </c>
      <c r="G6" s="69" t="s">
        <v>134</v>
      </c>
      <c r="H6" s="69" t="s">
        <v>134</v>
      </c>
      <c r="I6" s="53" t="s">
        <v>155</v>
      </c>
    </row>
    <row r="7" spans="1:9" x14ac:dyDescent="0.2">
      <c r="A7" s="17">
        <v>5</v>
      </c>
      <c r="B7" s="57" t="s">
        <v>135</v>
      </c>
      <c r="C7" s="53" t="s">
        <v>141</v>
      </c>
      <c r="D7" s="53"/>
      <c r="E7" s="53"/>
      <c r="F7" s="70" t="s">
        <v>164</v>
      </c>
      <c r="G7" s="70" t="s">
        <v>164</v>
      </c>
      <c r="H7" s="70" t="s">
        <v>164</v>
      </c>
      <c r="I7" s="57" t="s">
        <v>2</v>
      </c>
    </row>
    <row r="8" spans="1:9" x14ac:dyDescent="0.2">
      <c r="A8" s="17">
        <v>6</v>
      </c>
      <c r="B8" s="53" t="s">
        <v>136</v>
      </c>
      <c r="C8" s="51" t="s">
        <v>142</v>
      </c>
      <c r="D8" s="51"/>
      <c r="E8" s="51"/>
      <c r="F8" s="53" t="s">
        <v>155</v>
      </c>
      <c r="G8" s="53" t="s">
        <v>155</v>
      </c>
      <c r="H8" s="53" t="s">
        <v>155</v>
      </c>
      <c r="I8" s="69" t="s">
        <v>134</v>
      </c>
    </row>
    <row r="9" spans="1:9" x14ac:dyDescent="0.2">
      <c r="A9" s="17">
        <v>7</v>
      </c>
      <c r="B9" s="53" t="s">
        <v>137</v>
      </c>
      <c r="C9" s="53" t="s">
        <v>155</v>
      </c>
      <c r="D9" s="53" t="s">
        <v>155</v>
      </c>
      <c r="E9" s="53" t="s">
        <v>155</v>
      </c>
      <c r="F9" s="53" t="s">
        <v>155</v>
      </c>
      <c r="G9" s="53" t="s">
        <v>155</v>
      </c>
      <c r="H9" s="53" t="s">
        <v>155</v>
      </c>
      <c r="I9" s="69" t="s">
        <v>134</v>
      </c>
    </row>
    <row r="10" spans="1:9" x14ac:dyDescent="0.2">
      <c r="A10" s="17">
        <v>8</v>
      </c>
      <c r="B10" s="53" t="s">
        <v>138</v>
      </c>
      <c r="C10" s="51" t="s">
        <v>2</v>
      </c>
      <c r="D10" s="51"/>
      <c r="E10" s="51"/>
      <c r="F10" s="53" t="s">
        <v>155</v>
      </c>
      <c r="G10" s="53" t="s">
        <v>155</v>
      </c>
      <c r="H10" s="53" t="s">
        <v>155</v>
      </c>
      <c r="I10" s="69" t="s">
        <v>134</v>
      </c>
    </row>
    <row r="11" spans="1:9" x14ac:dyDescent="0.2">
      <c r="A11" s="17">
        <v>9</v>
      </c>
      <c r="B11" s="66" t="s">
        <v>2</v>
      </c>
      <c r="C11" s="52" t="s">
        <v>144</v>
      </c>
      <c r="D11" s="56"/>
      <c r="E11" s="56"/>
      <c r="F11" s="69" t="s">
        <v>134</v>
      </c>
      <c r="G11" s="69" t="s">
        <v>134</v>
      </c>
      <c r="H11" s="69" t="s">
        <v>134</v>
      </c>
      <c r="I11" s="69" t="s">
        <v>134</v>
      </c>
    </row>
    <row r="12" spans="1:9" x14ac:dyDescent="0.2">
      <c r="A12" s="17">
        <v>10</v>
      </c>
      <c r="B12" s="66" t="s">
        <v>2</v>
      </c>
      <c r="C12" s="69" t="s">
        <v>134</v>
      </c>
      <c r="D12" s="69" t="s">
        <v>134</v>
      </c>
      <c r="E12" s="69" t="s">
        <v>134</v>
      </c>
      <c r="F12" s="69" t="s">
        <v>134</v>
      </c>
      <c r="G12" s="69" t="s">
        <v>134</v>
      </c>
      <c r="H12" s="69" t="s">
        <v>134</v>
      </c>
      <c r="I12" s="66" t="s">
        <v>2</v>
      </c>
    </row>
    <row r="13" spans="1:9" x14ac:dyDescent="0.2">
      <c r="A13" s="17">
        <v>11</v>
      </c>
      <c r="B13" s="53" t="s">
        <v>140</v>
      </c>
      <c r="C13" s="53" t="s">
        <v>160</v>
      </c>
      <c r="D13" s="53" t="s">
        <v>160</v>
      </c>
      <c r="E13" s="53" t="s">
        <v>160</v>
      </c>
      <c r="F13" s="53" t="s">
        <v>155</v>
      </c>
      <c r="G13" s="53" t="s">
        <v>155</v>
      </c>
      <c r="H13" s="53" t="s">
        <v>155</v>
      </c>
      <c r="I13" s="69" t="s">
        <v>134</v>
      </c>
    </row>
    <row r="14" spans="1:9" x14ac:dyDescent="0.2">
      <c r="A14" s="17">
        <v>12</v>
      </c>
      <c r="B14" s="53" t="s">
        <v>156</v>
      </c>
      <c r="C14" s="69" t="s">
        <v>134</v>
      </c>
      <c r="D14" s="69" t="s">
        <v>134</v>
      </c>
      <c r="E14" s="69" t="s">
        <v>134</v>
      </c>
      <c r="F14" s="69" t="s">
        <v>134</v>
      </c>
      <c r="G14" s="69" t="s">
        <v>134</v>
      </c>
      <c r="H14" s="69" t="s">
        <v>134</v>
      </c>
      <c r="I14" s="69" t="s">
        <v>134</v>
      </c>
    </row>
    <row r="15" spans="1:9" x14ac:dyDescent="0.2">
      <c r="A15" s="17">
        <v>13</v>
      </c>
      <c r="B15" s="53" t="s">
        <v>155</v>
      </c>
      <c r="C15" s="69" t="s">
        <v>134</v>
      </c>
      <c r="D15" s="69" t="s">
        <v>134</v>
      </c>
      <c r="E15" s="69" t="s">
        <v>134</v>
      </c>
      <c r="F15" s="70" t="s">
        <v>163</v>
      </c>
      <c r="G15" s="70" t="s">
        <v>163</v>
      </c>
      <c r="H15" s="70" t="s">
        <v>163</v>
      </c>
      <c r="I15" s="69" t="s">
        <v>134</v>
      </c>
    </row>
    <row r="16" spans="1:9" x14ac:dyDescent="0.2">
      <c r="A16" s="17">
        <v>14</v>
      </c>
      <c r="B16" s="53" t="s">
        <v>134</v>
      </c>
      <c r="C16" s="51" t="s">
        <v>134</v>
      </c>
      <c r="D16" s="51"/>
      <c r="E16" s="51"/>
      <c r="F16" s="69" t="s">
        <v>134</v>
      </c>
      <c r="G16" s="69" t="s">
        <v>134</v>
      </c>
      <c r="H16" s="69" t="s">
        <v>134</v>
      </c>
      <c r="I16" s="50" t="s">
        <v>134</v>
      </c>
    </row>
    <row r="17" spans="1:9" x14ac:dyDescent="0.2">
      <c r="A17" s="17">
        <v>15</v>
      </c>
      <c r="B17" s="58" t="s">
        <v>2</v>
      </c>
      <c r="C17" s="51" t="s">
        <v>143</v>
      </c>
      <c r="D17" s="51"/>
      <c r="E17" s="51"/>
      <c r="F17" s="69" t="s">
        <v>134</v>
      </c>
      <c r="G17" s="69" t="s">
        <v>134</v>
      </c>
      <c r="H17" s="69" t="s">
        <v>134</v>
      </c>
      <c r="I17" s="50" t="s">
        <v>134</v>
      </c>
    </row>
    <row r="18" spans="1:9" x14ac:dyDescent="0.2">
      <c r="A18" s="17">
        <v>16</v>
      </c>
      <c r="B18" s="51" t="s">
        <v>146</v>
      </c>
      <c r="C18" s="69" t="s">
        <v>134</v>
      </c>
      <c r="D18" s="69" t="s">
        <v>134</v>
      </c>
      <c r="E18" s="69" t="s">
        <v>134</v>
      </c>
      <c r="F18" s="70" t="s">
        <v>163</v>
      </c>
      <c r="G18" s="70" t="s">
        <v>163</v>
      </c>
      <c r="H18" s="70" t="s">
        <v>163</v>
      </c>
      <c r="I18" s="59" t="s">
        <v>134</v>
      </c>
    </row>
    <row r="19" spans="1:9" x14ac:dyDescent="0.2">
      <c r="A19" s="17">
        <v>17</v>
      </c>
      <c r="B19" s="53" t="s">
        <v>134</v>
      </c>
      <c r="C19" s="69" t="s">
        <v>134</v>
      </c>
      <c r="D19" s="69" t="s">
        <v>134</v>
      </c>
      <c r="E19" s="69" t="s">
        <v>134</v>
      </c>
      <c r="F19" s="69" t="s">
        <v>134</v>
      </c>
      <c r="G19" s="69" t="s">
        <v>134</v>
      </c>
      <c r="H19" s="69" t="s">
        <v>134</v>
      </c>
      <c r="I19" s="69" t="s">
        <v>134</v>
      </c>
    </row>
    <row r="20" spans="1:9" x14ac:dyDescent="0.2">
      <c r="A20" s="17">
        <v>18</v>
      </c>
      <c r="B20" s="53" t="s">
        <v>134</v>
      </c>
      <c r="C20" s="69" t="s">
        <v>134</v>
      </c>
      <c r="D20" s="69" t="s">
        <v>134</v>
      </c>
      <c r="E20" s="69" t="s">
        <v>134</v>
      </c>
      <c r="F20" s="53" t="s">
        <v>162</v>
      </c>
      <c r="G20" s="53" t="s">
        <v>162</v>
      </c>
      <c r="H20" s="53" t="s">
        <v>162</v>
      </c>
      <c r="I20" s="69" t="s">
        <v>134</v>
      </c>
    </row>
    <row r="21" spans="1:9" x14ac:dyDescent="0.2">
      <c r="A21" s="17">
        <v>19</v>
      </c>
      <c r="B21" s="53" t="s">
        <v>134</v>
      </c>
      <c r="C21" s="69" t="s">
        <v>134</v>
      </c>
      <c r="D21" s="69" t="s">
        <v>134</v>
      </c>
      <c r="E21" s="51"/>
      <c r="F21" s="69" t="s">
        <v>134</v>
      </c>
      <c r="G21" s="69" t="s">
        <v>134</v>
      </c>
      <c r="H21" s="69" t="s">
        <v>134</v>
      </c>
      <c r="I21" s="50" t="s">
        <v>134</v>
      </c>
    </row>
    <row r="22" spans="1:9" x14ac:dyDescent="0.2">
      <c r="A22" s="17">
        <v>20</v>
      </c>
      <c r="B22" s="53" t="s">
        <v>155</v>
      </c>
      <c r="C22" s="69" t="s">
        <v>134</v>
      </c>
      <c r="D22" s="69" t="s">
        <v>134</v>
      </c>
      <c r="E22" s="69" t="s">
        <v>134</v>
      </c>
      <c r="F22" s="53" t="s">
        <v>155</v>
      </c>
      <c r="G22" s="53" t="s">
        <v>155</v>
      </c>
      <c r="H22" s="53" t="s">
        <v>155</v>
      </c>
      <c r="I22" s="69" t="s">
        <v>134</v>
      </c>
    </row>
    <row r="23" spans="1:9" x14ac:dyDescent="0.2">
      <c r="A23" s="17">
        <v>21</v>
      </c>
      <c r="B23" s="53" t="s">
        <v>134</v>
      </c>
      <c r="C23" s="69" t="s">
        <v>134</v>
      </c>
      <c r="D23" s="69" t="s">
        <v>134</v>
      </c>
      <c r="E23" s="69" t="s">
        <v>134</v>
      </c>
      <c r="F23" s="66" t="s">
        <v>2</v>
      </c>
      <c r="G23" s="66" t="s">
        <v>2</v>
      </c>
      <c r="H23" s="66" t="s">
        <v>2</v>
      </c>
      <c r="I23" s="69" t="s">
        <v>134</v>
      </c>
    </row>
    <row r="24" spans="1:9" x14ac:dyDescent="0.2">
      <c r="A24" s="17">
        <v>22</v>
      </c>
      <c r="B24" s="53" t="s">
        <v>134</v>
      </c>
      <c r="C24" s="69" t="s">
        <v>134</v>
      </c>
      <c r="D24" s="69" t="s">
        <v>134</v>
      </c>
      <c r="E24" s="69" t="s">
        <v>134</v>
      </c>
      <c r="F24" s="67" t="s">
        <v>145</v>
      </c>
      <c r="G24" s="67"/>
      <c r="H24" s="67"/>
      <c r="I24" s="53" t="s">
        <v>155</v>
      </c>
    </row>
    <row r="25" spans="1:9" x14ac:dyDescent="0.2">
      <c r="A25" s="17">
        <v>23</v>
      </c>
      <c r="B25" s="53" t="s">
        <v>134</v>
      </c>
      <c r="C25" s="69" t="s">
        <v>134</v>
      </c>
      <c r="D25" s="69" t="s">
        <v>134</v>
      </c>
      <c r="E25" s="69" t="s">
        <v>134</v>
      </c>
      <c r="F25" s="53" t="s">
        <v>155</v>
      </c>
      <c r="G25" s="53" t="s">
        <v>155</v>
      </c>
      <c r="H25" s="53" t="s">
        <v>155</v>
      </c>
      <c r="I25" s="69" t="s">
        <v>134</v>
      </c>
    </row>
    <row r="26" spans="1:9" x14ac:dyDescent="0.2">
      <c r="A26" s="17">
        <v>24</v>
      </c>
      <c r="B26" s="66" t="s">
        <v>158</v>
      </c>
      <c r="C26" s="53" t="s">
        <v>155</v>
      </c>
      <c r="D26" s="53" t="s">
        <v>155</v>
      </c>
      <c r="E26" s="53" t="s">
        <v>155</v>
      </c>
      <c r="F26" s="53" t="s">
        <v>155</v>
      </c>
      <c r="G26" s="53" t="s">
        <v>155</v>
      </c>
      <c r="H26" s="53" t="s">
        <v>155</v>
      </c>
      <c r="I26" s="69" t="s">
        <v>134</v>
      </c>
    </row>
    <row r="27" spans="1:9" x14ac:dyDescent="0.2">
      <c r="A27" s="17">
        <v>25</v>
      </c>
      <c r="B27" s="53" t="s">
        <v>157</v>
      </c>
      <c r="C27" s="53" t="s">
        <v>155</v>
      </c>
      <c r="D27" s="53" t="s">
        <v>155</v>
      </c>
      <c r="E27" s="53" t="s">
        <v>155</v>
      </c>
      <c r="F27" s="69" t="s">
        <v>134</v>
      </c>
      <c r="G27" s="69" t="s">
        <v>134</v>
      </c>
      <c r="H27" s="69" t="s">
        <v>134</v>
      </c>
      <c r="I27" s="69" t="s">
        <v>134</v>
      </c>
    </row>
    <row r="28" spans="1:9" x14ac:dyDescent="0.2">
      <c r="A28" s="17">
        <v>26</v>
      </c>
      <c r="B28" s="53" t="s">
        <v>157</v>
      </c>
      <c r="C28" s="69" t="s">
        <v>134</v>
      </c>
      <c r="D28" s="69" t="s">
        <v>134</v>
      </c>
      <c r="E28" s="69" t="s">
        <v>134</v>
      </c>
      <c r="F28" s="53" t="s">
        <v>155</v>
      </c>
      <c r="G28" s="53" t="s">
        <v>155</v>
      </c>
      <c r="H28" s="53" t="s">
        <v>155</v>
      </c>
      <c r="I28" s="69" t="s">
        <v>134</v>
      </c>
    </row>
    <row r="29" spans="1:9" x14ac:dyDescent="0.2">
      <c r="C29" s="38"/>
      <c r="D29" s="38"/>
      <c r="E29" s="29"/>
      <c r="F29" s="29"/>
      <c r="G29" s="29"/>
      <c r="H29" s="29"/>
    </row>
    <row r="30" spans="1:9" x14ac:dyDescent="0.2">
      <c r="C30" s="39"/>
      <c r="D30" s="39"/>
      <c r="E30" s="14"/>
      <c r="F30" s="14"/>
      <c r="G30" s="14"/>
      <c r="H30" s="14"/>
    </row>
    <row r="31" spans="1:9" x14ac:dyDescent="0.2">
      <c r="A31" s="9" t="s">
        <v>11</v>
      </c>
      <c r="B31" s="45"/>
      <c r="C31" s="9">
        <v>1</v>
      </c>
      <c r="D31" s="9"/>
      <c r="E31" s="9"/>
      <c r="F31" s="9"/>
      <c r="G31" s="9"/>
      <c r="H31" s="9"/>
      <c r="I31" s="9"/>
    </row>
    <row r="32" spans="1:9" x14ac:dyDescent="0.2">
      <c r="A32" s="10" t="s">
        <v>12</v>
      </c>
      <c r="B32" s="46"/>
      <c r="C32" s="10">
        <v>2</v>
      </c>
      <c r="D32" s="10"/>
      <c r="E32" s="10"/>
      <c r="F32" s="10"/>
      <c r="G32" s="10"/>
      <c r="H32" s="10"/>
      <c r="I32" s="10"/>
    </row>
    <row r="33" spans="1:9" x14ac:dyDescent="0.2">
      <c r="A33" s="11" t="s">
        <v>13</v>
      </c>
      <c r="B33" s="47"/>
      <c r="C33" s="11">
        <v>3</v>
      </c>
      <c r="D33" s="11"/>
      <c r="E33" s="11"/>
      <c r="F33" s="11"/>
      <c r="G33" s="11"/>
      <c r="H33" s="11"/>
      <c r="I33" s="11"/>
    </row>
    <row r="34" spans="1:9" x14ac:dyDescent="0.2">
      <c r="A34" s="18" t="s">
        <v>14</v>
      </c>
      <c r="B34" s="30">
        <v>3</v>
      </c>
      <c r="C34" s="12">
        <v>4</v>
      </c>
      <c r="D34" s="30">
        <v>4</v>
      </c>
      <c r="E34" s="30">
        <v>5</v>
      </c>
      <c r="F34" s="12">
        <v>0</v>
      </c>
      <c r="G34" s="30">
        <v>0</v>
      </c>
      <c r="H34" s="30">
        <v>0</v>
      </c>
      <c r="I34" s="12">
        <v>5</v>
      </c>
    </row>
    <row r="35" spans="1:9" x14ac:dyDescent="0.2">
      <c r="A35" s="19" t="s">
        <v>15</v>
      </c>
      <c r="B35" s="48">
        <f t="shared" ref="B35" si="0">SUM(B31:B33)</f>
        <v>0</v>
      </c>
      <c r="C35" s="13">
        <f t="shared" ref="C35:E35" si="1">SUM(C31:C33)</f>
        <v>6</v>
      </c>
      <c r="D35" s="13">
        <f t="shared" si="1"/>
        <v>0</v>
      </c>
      <c r="E35" s="13">
        <f t="shared" si="1"/>
        <v>0</v>
      </c>
      <c r="F35" s="13">
        <f t="shared" ref="F35:H35" si="2">SUM(F31:F34)</f>
        <v>0</v>
      </c>
      <c r="G35" s="13">
        <f t="shared" si="2"/>
        <v>0</v>
      </c>
      <c r="H35" s="13">
        <f t="shared" si="2"/>
        <v>0</v>
      </c>
      <c r="I35" s="13">
        <f t="shared" ref="I35" si="3">SUM(I31:I33)</f>
        <v>0</v>
      </c>
    </row>
    <row r="36" spans="1:9" x14ac:dyDescent="0.2">
      <c r="A36" s="20"/>
      <c r="B36" s="20"/>
      <c r="C36" s="127"/>
      <c r="D36" s="127"/>
      <c r="E36" s="127"/>
      <c r="F36" s="127"/>
      <c r="G36" s="127"/>
      <c r="H36" s="127"/>
      <c r="I36" s="20"/>
    </row>
    <row r="37" spans="1:9" x14ac:dyDescent="0.2">
      <c r="A37" s="20"/>
      <c r="B37" s="20"/>
      <c r="C37" s="128"/>
      <c r="D37" s="128"/>
      <c r="E37" s="128"/>
      <c r="F37" s="128"/>
      <c r="G37" s="128"/>
      <c r="H37" s="128"/>
      <c r="I37" s="20"/>
    </row>
    <row r="38" spans="1:9" x14ac:dyDescent="0.2">
      <c r="A38" s="21" t="s">
        <v>61</v>
      </c>
      <c r="B38" s="54" t="e">
        <f t="shared" ref="B38" si="4">B31/B35</f>
        <v>#DIV/0!</v>
      </c>
      <c r="C38" s="97">
        <f>SUM(C31:E31)/SUM(C35:E35)</f>
        <v>0.16666666666666666</v>
      </c>
      <c r="D38" s="97"/>
      <c r="E38" s="97"/>
      <c r="F38" s="97" t="e">
        <f>SUM(F31,G31,H31)/SUM(F35:H35)</f>
        <v>#DIV/0!</v>
      </c>
      <c r="G38" s="97"/>
      <c r="H38" s="97"/>
      <c r="I38" s="54" t="e">
        <f t="shared" ref="I38" si="5">I31/I35</f>
        <v>#DIV/0!</v>
      </c>
    </row>
    <row r="39" spans="1:9" x14ac:dyDescent="0.2">
      <c r="A39" s="22" t="s">
        <v>62</v>
      </c>
      <c r="B39" s="55" t="e">
        <f t="shared" ref="B39" si="6">SUM(B31,B32)/B35</f>
        <v>#DIV/0!</v>
      </c>
      <c r="C39" s="95">
        <f>SUM(C31,D31,E31,E32,D32,C32)/SUM(C35,D35,E35)</f>
        <v>0.5</v>
      </c>
      <c r="D39" s="95"/>
      <c r="E39" s="95"/>
      <c r="F39" s="95" t="e">
        <f>SUM(F31:H32)/SUM(F35:H35)</f>
        <v>#DIV/0!</v>
      </c>
      <c r="G39" s="95"/>
      <c r="H39" s="95"/>
      <c r="I39" s="55" t="e">
        <f t="shared" ref="I39" si="7">SUM(I31,I32)/I35</f>
        <v>#DIV/0!</v>
      </c>
    </row>
    <row r="41" spans="1:9" x14ac:dyDescent="0.2">
      <c r="A41" s="20"/>
      <c r="B41" s="20" t="s">
        <v>153</v>
      </c>
      <c r="C41" s="127" t="s">
        <v>151</v>
      </c>
      <c r="D41" s="127"/>
      <c r="E41" s="127"/>
      <c r="F41" s="127" t="s">
        <v>149</v>
      </c>
      <c r="G41" s="127"/>
      <c r="H41" s="127"/>
      <c r="I41" s="20" t="s">
        <v>148</v>
      </c>
    </row>
    <row r="42" spans="1:9" x14ac:dyDescent="0.2">
      <c r="A42" s="20"/>
      <c r="B42" s="20" t="s">
        <v>154</v>
      </c>
      <c r="C42" s="128" t="s">
        <v>152</v>
      </c>
      <c r="D42" s="128"/>
      <c r="E42" s="128"/>
      <c r="F42" s="128" t="s">
        <v>150</v>
      </c>
      <c r="G42" s="128"/>
      <c r="H42" s="128"/>
      <c r="I42" s="20" t="s">
        <v>147</v>
      </c>
    </row>
    <row r="44" spans="1:9" x14ac:dyDescent="0.2">
      <c r="B44" s="68" t="s">
        <v>159</v>
      </c>
      <c r="C44" s="129" t="s">
        <v>161</v>
      </c>
      <c r="D44" s="129"/>
      <c r="E44" s="129"/>
      <c r="F44" s="129" t="s">
        <v>161</v>
      </c>
      <c r="G44" s="129"/>
      <c r="H44" s="129"/>
      <c r="I44" s="68" t="s">
        <v>161</v>
      </c>
    </row>
    <row r="49" spans="1:1" x14ac:dyDescent="0.2">
      <c r="A49" s="63" t="s">
        <v>132</v>
      </c>
    </row>
    <row r="50" spans="1:1" x14ac:dyDescent="0.2">
      <c r="A50" s="64" t="s">
        <v>129</v>
      </c>
    </row>
    <row r="51" spans="1:1" x14ac:dyDescent="0.2">
      <c r="A51" s="65" t="s">
        <v>130</v>
      </c>
    </row>
    <row r="52" spans="1:1" x14ac:dyDescent="0.2">
      <c r="A52" t="s">
        <v>131</v>
      </c>
    </row>
    <row r="53" spans="1:1" x14ac:dyDescent="0.2">
      <c r="A53" t="s">
        <v>133</v>
      </c>
    </row>
    <row r="55" spans="1:1" x14ac:dyDescent="0.2">
      <c r="A55" t="s">
        <v>125</v>
      </c>
    </row>
    <row r="57" spans="1:1" x14ac:dyDescent="0.2">
      <c r="A57" t="s">
        <v>126</v>
      </c>
    </row>
    <row r="58" spans="1:1" x14ac:dyDescent="0.2">
      <c r="A58" t="s">
        <v>127</v>
      </c>
    </row>
    <row r="59" spans="1:1" x14ac:dyDescent="0.2">
      <c r="A59" t="s">
        <v>128</v>
      </c>
    </row>
  </sheetData>
  <mergeCells count="19">
    <mergeCell ref="C41:E41"/>
    <mergeCell ref="F41:H41"/>
    <mergeCell ref="C42:E42"/>
    <mergeCell ref="F42:H42"/>
    <mergeCell ref="C44:E44"/>
    <mergeCell ref="F44:H44"/>
    <mergeCell ref="A1:A2"/>
    <mergeCell ref="I1:I2"/>
    <mergeCell ref="C39:E39"/>
    <mergeCell ref="F39:H39"/>
    <mergeCell ref="F1:H1"/>
    <mergeCell ref="B1:B2"/>
    <mergeCell ref="C38:E38"/>
    <mergeCell ref="F38:H38"/>
    <mergeCell ref="C1:E1"/>
    <mergeCell ref="F36:H36"/>
    <mergeCell ref="F37:H37"/>
    <mergeCell ref="C36:E36"/>
    <mergeCell ref="C37:E37"/>
  </mergeCells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C418-C95B-DC4C-9EFC-AD81CC8A77F9}">
  <dimension ref="A1:I82"/>
  <sheetViews>
    <sheetView topLeftCell="B1" zoomScale="120" zoomScaleNormal="120" workbookViewId="0">
      <selection activeCell="H36" sqref="H36"/>
    </sheetView>
  </sheetViews>
  <sheetFormatPr baseColWidth="10" defaultRowHeight="16" x14ac:dyDescent="0.2"/>
  <cols>
    <col min="2" max="2" width="20.6640625" customWidth="1"/>
    <col min="3" max="3" width="20.83203125" customWidth="1"/>
    <col min="4" max="4" width="20.6640625" customWidth="1"/>
    <col min="5" max="7" width="20.83203125" customWidth="1"/>
    <col min="8" max="8" width="20.6640625" customWidth="1"/>
    <col min="9" max="9" width="20.83203125" customWidth="1"/>
  </cols>
  <sheetData>
    <row r="1" spans="1:9" x14ac:dyDescent="0.2">
      <c r="A1" s="107" t="s">
        <v>10</v>
      </c>
      <c r="B1" s="114" t="s">
        <v>57</v>
      </c>
      <c r="C1" s="96" t="s">
        <v>58</v>
      </c>
      <c r="D1" s="96"/>
      <c r="E1" s="96"/>
      <c r="F1" s="111" t="s">
        <v>59</v>
      </c>
      <c r="G1" s="112"/>
      <c r="H1" s="113"/>
      <c r="I1" s="93" t="s">
        <v>60</v>
      </c>
    </row>
    <row r="2" spans="1:9" x14ac:dyDescent="0.2">
      <c r="A2" s="107"/>
      <c r="B2" s="111"/>
      <c r="C2" s="23" t="s">
        <v>30</v>
      </c>
      <c r="D2" s="23" t="s">
        <v>31</v>
      </c>
      <c r="E2" s="23" t="s">
        <v>32</v>
      </c>
      <c r="F2" s="23" t="s">
        <v>16</v>
      </c>
      <c r="G2" s="23" t="s">
        <v>17</v>
      </c>
      <c r="H2" s="23" t="s">
        <v>18</v>
      </c>
      <c r="I2" s="94"/>
    </row>
    <row r="3" spans="1:9" x14ac:dyDescent="0.2">
      <c r="A3" s="17">
        <v>2</v>
      </c>
      <c r="B3" s="3" t="s">
        <v>2</v>
      </c>
      <c r="C3" s="33" t="s">
        <v>194</v>
      </c>
      <c r="D3" s="31" t="s">
        <v>2</v>
      </c>
      <c r="E3" s="31" t="s">
        <v>2</v>
      </c>
      <c r="F3" s="104" t="s">
        <v>19</v>
      </c>
      <c r="G3" s="105"/>
      <c r="H3" s="106"/>
      <c r="I3" s="2" t="s">
        <v>1</v>
      </c>
    </row>
    <row r="4" spans="1:9" x14ac:dyDescent="0.2">
      <c r="A4">
        <v>1</v>
      </c>
      <c r="B4" s="3" t="s">
        <v>2</v>
      </c>
      <c r="C4" s="31" t="s">
        <v>2</v>
      </c>
      <c r="D4" s="31" t="s">
        <v>2</v>
      </c>
      <c r="E4" s="31" t="s">
        <v>2</v>
      </c>
      <c r="F4" s="1" t="s">
        <v>2</v>
      </c>
      <c r="G4" s="1" t="s">
        <v>2</v>
      </c>
      <c r="H4" s="72" t="s">
        <v>2</v>
      </c>
      <c r="I4" s="78" t="s">
        <v>185</v>
      </c>
    </row>
    <row r="5" spans="1:9" x14ac:dyDescent="0.2">
      <c r="A5">
        <v>2</v>
      </c>
      <c r="B5" s="3" t="s">
        <v>2</v>
      </c>
      <c r="C5" s="31" t="s">
        <v>2</v>
      </c>
      <c r="D5" s="31" t="s">
        <v>2</v>
      </c>
      <c r="E5" s="31" t="s">
        <v>2</v>
      </c>
      <c r="F5" s="1" t="s">
        <v>2</v>
      </c>
      <c r="G5" s="1" t="s">
        <v>2</v>
      </c>
      <c r="H5" s="72" t="s">
        <v>2</v>
      </c>
      <c r="I5" s="78" t="s">
        <v>187</v>
      </c>
    </row>
    <row r="6" spans="1:9" x14ac:dyDescent="0.2">
      <c r="A6">
        <v>3</v>
      </c>
      <c r="B6" s="3" t="s">
        <v>2</v>
      </c>
      <c r="C6" s="31" t="s">
        <v>2</v>
      </c>
      <c r="D6" s="31" t="s">
        <v>2</v>
      </c>
      <c r="E6" s="31" t="s">
        <v>2</v>
      </c>
      <c r="F6" s="1" t="s">
        <v>2</v>
      </c>
      <c r="G6" s="1" t="s">
        <v>2</v>
      </c>
      <c r="H6" s="72" t="s">
        <v>2</v>
      </c>
      <c r="I6" s="72" t="s">
        <v>2</v>
      </c>
    </row>
    <row r="7" spans="1:9" x14ac:dyDescent="0.2">
      <c r="A7">
        <v>4</v>
      </c>
      <c r="B7" s="3" t="s">
        <v>2</v>
      </c>
      <c r="C7" s="31" t="s">
        <v>2</v>
      </c>
      <c r="D7" s="31" t="s">
        <v>2</v>
      </c>
      <c r="E7" s="31" t="s">
        <v>2</v>
      </c>
      <c r="F7" s="1" t="s">
        <v>2</v>
      </c>
      <c r="G7" s="1" t="s">
        <v>2</v>
      </c>
      <c r="H7" s="72" t="s">
        <v>2</v>
      </c>
      <c r="I7" s="78" t="s">
        <v>185</v>
      </c>
    </row>
    <row r="8" spans="1:9" x14ac:dyDescent="0.2">
      <c r="A8">
        <v>5</v>
      </c>
      <c r="B8" s="3" t="s">
        <v>2</v>
      </c>
      <c r="C8" s="31" t="s">
        <v>2</v>
      </c>
      <c r="D8" s="31" t="s">
        <v>2</v>
      </c>
      <c r="E8" s="31" t="s">
        <v>2</v>
      </c>
      <c r="F8" s="1" t="s">
        <v>2</v>
      </c>
      <c r="G8" s="1" t="s">
        <v>2</v>
      </c>
      <c r="H8" s="72" t="s">
        <v>2</v>
      </c>
      <c r="I8" s="78" t="s">
        <v>186</v>
      </c>
    </row>
    <row r="9" spans="1:9" x14ac:dyDescent="0.2">
      <c r="A9">
        <v>6</v>
      </c>
      <c r="B9" s="3" t="s">
        <v>2</v>
      </c>
      <c r="C9" s="31" t="s">
        <v>2</v>
      </c>
      <c r="D9" s="31" t="s">
        <v>2</v>
      </c>
      <c r="E9" s="31" t="s">
        <v>2</v>
      </c>
      <c r="F9" s="1" t="s">
        <v>2</v>
      </c>
      <c r="G9" s="1" t="s">
        <v>2</v>
      </c>
      <c r="H9" s="72" t="s">
        <v>2</v>
      </c>
      <c r="I9" s="72" t="s">
        <v>2</v>
      </c>
    </row>
    <row r="10" spans="1:9" ht="17" customHeight="1" x14ac:dyDescent="0.2">
      <c r="A10">
        <v>7</v>
      </c>
      <c r="B10" s="3" t="s">
        <v>2</v>
      </c>
      <c r="C10" s="31" t="s">
        <v>2</v>
      </c>
      <c r="D10" s="31" t="s">
        <v>2</v>
      </c>
      <c r="E10" s="31" t="s">
        <v>2</v>
      </c>
      <c r="F10" s="1" t="s">
        <v>2</v>
      </c>
      <c r="G10" s="1" t="s">
        <v>2</v>
      </c>
      <c r="H10" s="72" t="s">
        <v>2</v>
      </c>
      <c r="I10" s="72" t="s">
        <v>2</v>
      </c>
    </row>
    <row r="11" spans="1:9" ht="17" customHeight="1" x14ac:dyDescent="0.2">
      <c r="A11">
        <v>8</v>
      </c>
      <c r="B11" s="3" t="s">
        <v>2</v>
      </c>
      <c r="C11" s="33" t="s">
        <v>34</v>
      </c>
      <c r="D11" s="31" t="s">
        <v>2</v>
      </c>
      <c r="E11" s="31" t="s">
        <v>2</v>
      </c>
      <c r="F11" s="1" t="s">
        <v>2</v>
      </c>
      <c r="G11" s="1" t="s">
        <v>2</v>
      </c>
      <c r="H11" s="72" t="s">
        <v>2</v>
      </c>
      <c r="I11" s="72" t="s">
        <v>2</v>
      </c>
    </row>
    <row r="12" spans="1:9" ht="17" customHeight="1" x14ac:dyDescent="0.2">
      <c r="A12">
        <v>9</v>
      </c>
      <c r="B12" s="3" t="s">
        <v>2</v>
      </c>
      <c r="C12" s="31" t="s">
        <v>2</v>
      </c>
      <c r="D12" s="35" t="s">
        <v>19</v>
      </c>
      <c r="E12" s="31" t="s">
        <v>2</v>
      </c>
      <c r="F12" s="1" t="s">
        <v>2</v>
      </c>
      <c r="G12" s="1" t="s">
        <v>2</v>
      </c>
      <c r="H12" s="72" t="s">
        <v>2</v>
      </c>
      <c r="I12" s="2" t="s">
        <v>1</v>
      </c>
    </row>
    <row r="13" spans="1:9" x14ac:dyDescent="0.2">
      <c r="A13">
        <v>10</v>
      </c>
      <c r="B13" s="3" t="s">
        <v>2</v>
      </c>
      <c r="C13" s="31" t="s">
        <v>2</v>
      </c>
      <c r="D13" s="31" t="s">
        <v>2</v>
      </c>
      <c r="E13" s="31" t="s">
        <v>2</v>
      </c>
      <c r="F13" s="1" t="s">
        <v>2</v>
      </c>
      <c r="G13" s="1" t="s">
        <v>2</v>
      </c>
      <c r="H13" s="64" t="s">
        <v>41</v>
      </c>
      <c r="I13" s="72" t="s">
        <v>2</v>
      </c>
    </row>
    <row r="15" spans="1:9" x14ac:dyDescent="0.2">
      <c r="A15" t="s">
        <v>201</v>
      </c>
      <c r="B15">
        <v>2</v>
      </c>
    </row>
    <row r="16" spans="1:9" x14ac:dyDescent="0.2">
      <c r="A16" s="79" t="s">
        <v>198</v>
      </c>
      <c r="B16" t="s">
        <v>200</v>
      </c>
      <c r="C16" t="s">
        <v>200</v>
      </c>
      <c r="D16" t="s">
        <v>200</v>
      </c>
      <c r="E16" s="29" t="s">
        <v>200</v>
      </c>
      <c r="F16" s="14" t="s">
        <v>203</v>
      </c>
      <c r="G16" s="14" t="s">
        <v>202</v>
      </c>
      <c r="H16" t="s">
        <v>202</v>
      </c>
      <c r="I16" t="s">
        <v>202</v>
      </c>
    </row>
    <row r="17" spans="1:9" x14ac:dyDescent="0.2">
      <c r="A17" s="79" t="s">
        <v>196</v>
      </c>
      <c r="B17">
        <v>10</v>
      </c>
      <c r="C17">
        <v>10</v>
      </c>
      <c r="D17">
        <v>9</v>
      </c>
      <c r="E17">
        <v>10</v>
      </c>
      <c r="F17">
        <v>10</v>
      </c>
      <c r="G17">
        <v>10</v>
      </c>
      <c r="H17">
        <v>10</v>
      </c>
      <c r="I17">
        <v>9</v>
      </c>
    </row>
    <row r="18" spans="1:9" x14ac:dyDescent="0.2">
      <c r="A18" s="79" t="s">
        <v>197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">
      <c r="A19" s="79" t="s">
        <v>199</v>
      </c>
      <c r="B19" s="80">
        <f xml:space="preserve"> B18/SUM(B17,B18)</f>
        <v>0</v>
      </c>
      <c r="C19" s="131">
        <f>SUM(C18:E18)/SUM(C17:E18)</f>
        <v>3.3333333333333333E-2</v>
      </c>
      <c r="D19" s="131"/>
      <c r="E19" s="131"/>
      <c r="F19" s="131">
        <f>SUM(F18:H18)/SUM(F17:H18)</f>
        <v>0</v>
      </c>
      <c r="G19" s="131"/>
      <c r="H19" s="131"/>
      <c r="I19" s="80">
        <f t="shared" ref="I19" si="0" xml:space="preserve"> I18/SUM(I17,I18)</f>
        <v>0.1</v>
      </c>
    </row>
    <row r="20" spans="1:9" ht="15" customHeight="1" x14ac:dyDescent="0.2">
      <c r="A20" s="87" t="s">
        <v>213</v>
      </c>
    </row>
    <row r="21" spans="1:9" s="74" customFormat="1" x14ac:dyDescent="0.2">
      <c r="A21" s="74" t="s">
        <v>201</v>
      </c>
      <c r="B21" s="74">
        <v>2</v>
      </c>
    </row>
    <row r="22" spans="1:9" s="83" customFormat="1" x14ac:dyDescent="0.2">
      <c r="A22" s="83" t="s">
        <v>198</v>
      </c>
      <c r="B22" s="83" t="s">
        <v>200</v>
      </c>
      <c r="C22" s="83" t="s">
        <v>202</v>
      </c>
      <c r="D22" s="83" t="s">
        <v>200</v>
      </c>
      <c r="E22" s="84" t="s">
        <v>200</v>
      </c>
      <c r="F22" s="85" t="s">
        <v>202</v>
      </c>
      <c r="G22" s="85" t="s">
        <v>202</v>
      </c>
      <c r="H22" s="83" t="s">
        <v>203</v>
      </c>
      <c r="I22" s="83" t="s">
        <v>202</v>
      </c>
    </row>
    <row r="23" spans="1:9" s="83" customFormat="1" x14ac:dyDescent="0.2">
      <c r="A23" s="83" t="s">
        <v>196</v>
      </c>
      <c r="B23" s="83">
        <v>10</v>
      </c>
      <c r="C23" s="83">
        <v>9</v>
      </c>
      <c r="D23" s="83">
        <v>9</v>
      </c>
      <c r="E23" s="83">
        <v>10</v>
      </c>
      <c r="F23" s="83">
        <v>10</v>
      </c>
      <c r="G23" s="83">
        <v>10</v>
      </c>
      <c r="H23" s="83">
        <v>10</v>
      </c>
      <c r="I23" s="83">
        <v>6</v>
      </c>
    </row>
    <row r="24" spans="1:9" s="83" customFormat="1" ht="15" customHeight="1" x14ac:dyDescent="0.2">
      <c r="A24" s="83" t="s">
        <v>197</v>
      </c>
      <c r="B24" s="83">
        <v>0</v>
      </c>
      <c r="C24" s="83">
        <v>1</v>
      </c>
      <c r="D24" s="83">
        <v>1</v>
      </c>
      <c r="E24" s="83">
        <v>0</v>
      </c>
      <c r="F24" s="83">
        <v>0</v>
      </c>
      <c r="G24" s="83">
        <v>0</v>
      </c>
      <c r="H24" s="83">
        <v>0</v>
      </c>
      <c r="I24" s="83">
        <v>4</v>
      </c>
    </row>
    <row r="25" spans="1:9" s="83" customFormat="1" x14ac:dyDescent="0.2">
      <c r="A25" s="83" t="s">
        <v>199</v>
      </c>
      <c r="B25" s="86">
        <f xml:space="preserve"> B23/SUM(B23,B24)</f>
        <v>1</v>
      </c>
      <c r="C25" s="130">
        <f>SUM(C23:E23)/SUM(C23:E24)</f>
        <v>0.93333333333333335</v>
      </c>
      <c r="D25" s="130"/>
      <c r="E25" s="130"/>
      <c r="F25" s="130">
        <f>SUM(F23:H23)/SUM(F23:H24)</f>
        <v>1</v>
      </c>
      <c r="G25" s="130"/>
      <c r="H25" s="130"/>
      <c r="I25" s="86">
        <f xml:space="preserve"> I23/SUM(I23,I24)</f>
        <v>0.6</v>
      </c>
    </row>
    <row r="27" spans="1:9" s="75" customFormat="1" ht="23" customHeight="1" x14ac:dyDescent="0.2">
      <c r="A27" s="75">
        <v>3</v>
      </c>
      <c r="B27" s="75" t="s">
        <v>166</v>
      </c>
      <c r="C27" s="75" t="s">
        <v>167</v>
      </c>
      <c r="D27" s="75" t="s">
        <v>168</v>
      </c>
      <c r="E27" s="75" t="s">
        <v>169</v>
      </c>
      <c r="F27" s="75" t="s">
        <v>170</v>
      </c>
      <c r="G27" s="75" t="s">
        <v>171</v>
      </c>
      <c r="H27" s="75" t="s">
        <v>172</v>
      </c>
      <c r="I27" s="75" t="s">
        <v>173</v>
      </c>
    </row>
    <row r="28" spans="1:9" s="74" customFormat="1" x14ac:dyDescent="0.2">
      <c r="A28" s="107" t="s">
        <v>10</v>
      </c>
      <c r="B28" s="133" t="s">
        <v>57</v>
      </c>
      <c r="C28" s="96" t="s">
        <v>58</v>
      </c>
      <c r="D28" s="96"/>
      <c r="E28" s="96"/>
      <c r="F28" s="133" t="s">
        <v>59</v>
      </c>
      <c r="G28" s="133"/>
      <c r="H28" s="133"/>
      <c r="I28" s="133" t="s">
        <v>60</v>
      </c>
    </row>
    <row r="29" spans="1:9" s="74" customFormat="1" x14ac:dyDescent="0.2">
      <c r="A29" s="107"/>
      <c r="B29" s="133"/>
      <c r="C29" s="17" t="s">
        <v>30</v>
      </c>
      <c r="D29" s="17" t="s">
        <v>31</v>
      </c>
      <c r="E29" s="17" t="s">
        <v>32</v>
      </c>
      <c r="F29" s="17" t="s">
        <v>16</v>
      </c>
      <c r="G29" s="17" t="s">
        <v>17</v>
      </c>
      <c r="H29" s="17" t="s">
        <v>18</v>
      </c>
      <c r="I29" s="133"/>
    </row>
    <row r="30" spans="1:9" x14ac:dyDescent="0.2">
      <c r="A30" s="23">
        <v>3</v>
      </c>
      <c r="B30" s="72" t="s">
        <v>2</v>
      </c>
      <c r="C30" s="73" t="s">
        <v>2</v>
      </c>
      <c r="D30" s="73" t="s">
        <v>2</v>
      </c>
      <c r="E30" s="73" t="s">
        <v>2</v>
      </c>
      <c r="F30" s="140" t="s">
        <v>20</v>
      </c>
      <c r="G30" s="141"/>
      <c r="H30" s="142"/>
      <c r="I30" s="72" t="s">
        <v>2</v>
      </c>
    </row>
    <row r="31" spans="1:9" x14ac:dyDescent="0.2">
      <c r="A31">
        <v>1</v>
      </c>
      <c r="B31" s="72" t="s">
        <v>2</v>
      </c>
      <c r="C31" s="73" t="s">
        <v>2</v>
      </c>
      <c r="D31" s="73" t="s">
        <v>2</v>
      </c>
      <c r="E31" s="73" t="s">
        <v>2</v>
      </c>
      <c r="F31" s="1" t="s">
        <v>2</v>
      </c>
      <c r="G31" s="1" t="s">
        <v>2</v>
      </c>
      <c r="H31" s="72" t="s">
        <v>2</v>
      </c>
      <c r="I31" s="3" t="s">
        <v>2</v>
      </c>
    </row>
    <row r="32" spans="1:9" x14ac:dyDescent="0.2">
      <c r="A32">
        <v>2</v>
      </c>
      <c r="B32" s="72" t="s">
        <v>2</v>
      </c>
      <c r="C32" s="73" t="s">
        <v>2</v>
      </c>
      <c r="D32" s="73" t="s">
        <v>2</v>
      </c>
      <c r="E32" s="73" t="s">
        <v>2</v>
      </c>
      <c r="F32" s="1" t="s">
        <v>182</v>
      </c>
      <c r="G32" s="1" t="s">
        <v>182</v>
      </c>
      <c r="H32" s="1" t="s">
        <v>182</v>
      </c>
      <c r="I32" s="3" t="s">
        <v>2</v>
      </c>
    </row>
    <row r="33" spans="1:9" x14ac:dyDescent="0.2">
      <c r="A33">
        <v>3</v>
      </c>
      <c r="B33" s="72" t="s">
        <v>2</v>
      </c>
      <c r="C33" s="73" t="s">
        <v>2</v>
      </c>
      <c r="D33" s="73" t="s">
        <v>2</v>
      </c>
      <c r="E33" s="73" t="s">
        <v>2</v>
      </c>
      <c r="F33" s="1" t="s">
        <v>2</v>
      </c>
      <c r="G33" s="1" t="s">
        <v>2</v>
      </c>
      <c r="H33" s="72" t="s">
        <v>2</v>
      </c>
      <c r="I33" s="3" t="s">
        <v>2</v>
      </c>
    </row>
    <row r="34" spans="1:9" x14ac:dyDescent="0.2">
      <c r="A34">
        <v>4</v>
      </c>
      <c r="B34" s="72" t="s">
        <v>2</v>
      </c>
      <c r="C34" s="73" t="s">
        <v>2</v>
      </c>
      <c r="D34" s="73" t="s">
        <v>2</v>
      </c>
      <c r="E34" s="73" t="s">
        <v>2</v>
      </c>
      <c r="F34" s="1" t="s">
        <v>2</v>
      </c>
      <c r="G34" s="1" t="s">
        <v>2</v>
      </c>
      <c r="H34" s="72" t="s">
        <v>2</v>
      </c>
      <c r="I34" s="77" t="s">
        <v>19</v>
      </c>
    </row>
    <row r="35" spans="1:9" x14ac:dyDescent="0.2">
      <c r="A35">
        <v>5</v>
      </c>
      <c r="B35" s="72" t="s">
        <v>2</v>
      </c>
      <c r="C35" s="73" t="s">
        <v>2</v>
      </c>
      <c r="D35" s="73" t="s">
        <v>2</v>
      </c>
      <c r="E35" s="73" t="s">
        <v>2</v>
      </c>
      <c r="F35" s="1" t="s">
        <v>2</v>
      </c>
      <c r="G35" s="1" t="s">
        <v>2</v>
      </c>
      <c r="H35" s="72" t="s">
        <v>2</v>
      </c>
      <c r="I35" s="72" t="s">
        <v>182</v>
      </c>
    </row>
    <row r="36" spans="1:9" x14ac:dyDescent="0.2">
      <c r="A36">
        <v>6</v>
      </c>
      <c r="B36" s="72" t="s">
        <v>2</v>
      </c>
      <c r="C36" s="73" t="s">
        <v>2</v>
      </c>
      <c r="D36" s="73" t="s">
        <v>2</v>
      </c>
      <c r="E36" s="73" t="s">
        <v>2</v>
      </c>
      <c r="F36" s="1" t="s">
        <v>2</v>
      </c>
      <c r="G36" s="1" t="s">
        <v>2</v>
      </c>
      <c r="H36" s="72" t="s">
        <v>2</v>
      </c>
      <c r="I36" s="3" t="s">
        <v>2</v>
      </c>
    </row>
    <row r="37" spans="1:9" ht="17" customHeight="1" x14ac:dyDescent="0.2">
      <c r="A37">
        <v>7</v>
      </c>
      <c r="B37" s="72" t="s">
        <v>2</v>
      </c>
      <c r="C37" s="73" t="s">
        <v>2</v>
      </c>
      <c r="D37" s="73" t="s">
        <v>2</v>
      </c>
      <c r="E37" s="73" t="s">
        <v>2</v>
      </c>
      <c r="F37" s="1" t="s">
        <v>2</v>
      </c>
      <c r="G37" s="1" t="s">
        <v>2</v>
      </c>
      <c r="H37" s="72" t="s">
        <v>2</v>
      </c>
      <c r="I37" s="3" t="s">
        <v>2</v>
      </c>
    </row>
    <row r="38" spans="1:9" ht="17" customHeight="1" x14ac:dyDescent="0.2">
      <c r="A38">
        <v>8</v>
      </c>
      <c r="B38" s="72" t="s">
        <v>2</v>
      </c>
      <c r="C38" s="73" t="s">
        <v>2</v>
      </c>
      <c r="D38" s="73" t="s">
        <v>2</v>
      </c>
      <c r="E38" s="73" t="s">
        <v>2</v>
      </c>
      <c r="F38" s="77" t="s">
        <v>19</v>
      </c>
      <c r="G38" s="77" t="s">
        <v>19</v>
      </c>
      <c r="H38" s="77" t="s">
        <v>35</v>
      </c>
      <c r="I38" s="72" t="s">
        <v>182</v>
      </c>
    </row>
    <row r="39" spans="1:9" ht="17" customHeight="1" x14ac:dyDescent="0.2">
      <c r="A39">
        <v>9</v>
      </c>
      <c r="B39" s="72" t="s">
        <v>2</v>
      </c>
      <c r="C39" s="73" t="s">
        <v>2</v>
      </c>
      <c r="D39" s="73" t="s">
        <v>2</v>
      </c>
      <c r="E39" s="73" t="s">
        <v>2</v>
      </c>
      <c r="F39" s="64" t="s">
        <v>183</v>
      </c>
      <c r="G39" s="1" t="s">
        <v>2</v>
      </c>
      <c r="H39" s="72" t="s">
        <v>2</v>
      </c>
      <c r="I39" s="72" t="s">
        <v>182</v>
      </c>
    </row>
    <row r="40" spans="1:9" x14ac:dyDescent="0.2">
      <c r="A40">
        <v>10</v>
      </c>
      <c r="B40" s="72" t="s">
        <v>2</v>
      </c>
      <c r="C40" s="73" t="s">
        <v>2</v>
      </c>
      <c r="D40" s="73" t="s">
        <v>2</v>
      </c>
      <c r="E40" s="73" t="s">
        <v>2</v>
      </c>
      <c r="F40" s="1" t="s">
        <v>2</v>
      </c>
      <c r="G40" s="1" t="s">
        <v>2</v>
      </c>
      <c r="H40" s="72" t="s">
        <v>2</v>
      </c>
      <c r="I40" s="72" t="s">
        <v>182</v>
      </c>
    </row>
    <row r="42" spans="1:9" x14ac:dyDescent="0.2">
      <c r="A42" t="s">
        <v>201</v>
      </c>
      <c r="B42">
        <v>3</v>
      </c>
    </row>
    <row r="43" spans="1:9" x14ac:dyDescent="0.2">
      <c r="A43" s="79" t="s">
        <v>198</v>
      </c>
      <c r="B43" t="s">
        <v>200</v>
      </c>
      <c r="C43" t="s">
        <v>200</v>
      </c>
      <c r="D43" t="s">
        <v>200</v>
      </c>
      <c r="E43" s="29" t="s">
        <v>200</v>
      </c>
      <c r="F43" s="14" t="s">
        <v>200</v>
      </c>
      <c r="G43" s="14" t="s">
        <v>200</v>
      </c>
      <c r="H43" t="s">
        <v>200</v>
      </c>
      <c r="I43" t="s">
        <v>200</v>
      </c>
    </row>
    <row r="44" spans="1:9" x14ac:dyDescent="0.2">
      <c r="A44" s="79" t="s">
        <v>196</v>
      </c>
      <c r="B44">
        <v>10</v>
      </c>
      <c r="C44">
        <v>10</v>
      </c>
      <c r="D44">
        <v>10</v>
      </c>
      <c r="E44">
        <v>10</v>
      </c>
      <c r="F44">
        <v>9</v>
      </c>
      <c r="G44">
        <v>9</v>
      </c>
      <c r="H44">
        <v>9</v>
      </c>
      <c r="I44">
        <v>9</v>
      </c>
    </row>
    <row r="45" spans="1:9" x14ac:dyDescent="0.2">
      <c r="A45" s="79" t="s">
        <v>197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">
      <c r="A46" s="79" t="s">
        <v>199</v>
      </c>
      <c r="B46" s="80">
        <f xml:space="preserve"> B45/SUM(B44,B45)</f>
        <v>0</v>
      </c>
      <c r="C46" s="131">
        <f>SUM(C45:E45)/SUM(C44:E45)</f>
        <v>0</v>
      </c>
      <c r="D46" s="131"/>
      <c r="E46" s="131"/>
      <c r="F46" s="131">
        <f>SUM(F45:H45)/SUM(F44:H45)</f>
        <v>0.1</v>
      </c>
      <c r="G46" s="131"/>
      <c r="H46" s="131"/>
      <c r="I46" s="80">
        <f t="shared" ref="I46" si="1" xml:space="preserve"> I45/SUM(I44,I45)</f>
        <v>0.1</v>
      </c>
    </row>
    <row r="47" spans="1:9" ht="1" customHeight="1" x14ac:dyDescent="0.2"/>
    <row r="48" spans="1:9" s="74" customFormat="1" x14ac:dyDescent="0.2">
      <c r="A48" s="74" t="s">
        <v>201</v>
      </c>
      <c r="B48" s="74">
        <v>3</v>
      </c>
    </row>
    <row r="49" spans="1:9" s="83" customFormat="1" x14ac:dyDescent="0.2">
      <c r="A49" s="83" t="s">
        <v>198</v>
      </c>
      <c r="B49" s="83" t="s">
        <v>200</v>
      </c>
      <c r="C49" s="83" t="s">
        <v>200</v>
      </c>
      <c r="D49" s="83" t="s">
        <v>200</v>
      </c>
      <c r="E49" s="84" t="s">
        <v>200</v>
      </c>
      <c r="F49" s="85" t="s">
        <v>202</v>
      </c>
      <c r="G49" s="85" t="s">
        <v>202</v>
      </c>
      <c r="H49" s="83" t="s">
        <v>203</v>
      </c>
      <c r="I49" s="83" t="s">
        <v>200</v>
      </c>
    </row>
    <row r="50" spans="1:9" s="83" customFormat="1" x14ac:dyDescent="0.2">
      <c r="A50" s="83" t="s">
        <v>196</v>
      </c>
      <c r="B50" s="83">
        <v>10</v>
      </c>
      <c r="C50" s="83">
        <v>10</v>
      </c>
      <c r="D50" s="83">
        <v>10</v>
      </c>
      <c r="E50" s="83">
        <v>10</v>
      </c>
      <c r="F50" s="83">
        <v>8</v>
      </c>
      <c r="G50" s="83">
        <v>9</v>
      </c>
      <c r="H50" s="83">
        <v>9</v>
      </c>
      <c r="I50" s="83">
        <v>9</v>
      </c>
    </row>
    <row r="51" spans="1:9" s="83" customFormat="1" ht="15" customHeight="1" x14ac:dyDescent="0.2">
      <c r="A51" s="83" t="s">
        <v>197</v>
      </c>
      <c r="B51" s="83">
        <v>0</v>
      </c>
      <c r="C51" s="83">
        <v>0</v>
      </c>
      <c r="D51" s="83">
        <v>0</v>
      </c>
      <c r="E51" s="83">
        <v>0</v>
      </c>
      <c r="F51" s="83">
        <v>2</v>
      </c>
      <c r="G51" s="83">
        <v>1</v>
      </c>
      <c r="H51" s="83">
        <v>1</v>
      </c>
      <c r="I51" s="83">
        <v>1</v>
      </c>
    </row>
    <row r="52" spans="1:9" s="83" customFormat="1" x14ac:dyDescent="0.2">
      <c r="A52" s="83" t="s">
        <v>199</v>
      </c>
      <c r="B52" s="86">
        <f xml:space="preserve"> B50/SUM(B50,B51)</f>
        <v>1</v>
      </c>
      <c r="C52" s="130">
        <f>SUM(C50:E50)/SUM(C50:E51)</f>
        <v>1</v>
      </c>
      <c r="D52" s="130"/>
      <c r="E52" s="130"/>
      <c r="F52" s="130">
        <f>SUM(F50:H50)/SUM(F50:H51)</f>
        <v>0.8666666666666667</v>
      </c>
      <c r="G52" s="130"/>
      <c r="H52" s="130"/>
      <c r="I52" s="86">
        <f xml:space="preserve"> I50/SUM(I50,I51)</f>
        <v>0.9</v>
      </c>
    </row>
    <row r="55" spans="1:9" s="75" customFormat="1" x14ac:dyDescent="0.2">
      <c r="A55" s="75">
        <v>7</v>
      </c>
      <c r="B55" s="75" t="s">
        <v>174</v>
      </c>
      <c r="C55" s="75" t="s">
        <v>175</v>
      </c>
      <c r="D55" s="75" t="s">
        <v>176</v>
      </c>
      <c r="E55" s="75" t="s">
        <v>177</v>
      </c>
      <c r="F55" s="75" t="s">
        <v>178</v>
      </c>
      <c r="G55" s="75" t="s">
        <v>179</v>
      </c>
      <c r="H55" s="75" t="s">
        <v>180</v>
      </c>
      <c r="I55" s="75" t="s">
        <v>181</v>
      </c>
    </row>
    <row r="56" spans="1:9" s="74" customFormat="1" x14ac:dyDescent="0.2">
      <c r="A56" s="117" t="s">
        <v>10</v>
      </c>
      <c r="B56" s="132" t="s">
        <v>57</v>
      </c>
      <c r="C56" s="134" t="s">
        <v>58</v>
      </c>
      <c r="D56" s="135"/>
      <c r="E56" s="136"/>
      <c r="F56" s="137" t="s">
        <v>59</v>
      </c>
      <c r="G56" s="138"/>
      <c r="H56" s="139"/>
      <c r="I56" s="132" t="s">
        <v>60</v>
      </c>
    </row>
    <row r="57" spans="1:9" s="74" customFormat="1" x14ac:dyDescent="0.2">
      <c r="A57" s="118"/>
      <c r="B57" s="94"/>
      <c r="C57" s="17" t="s">
        <v>30</v>
      </c>
      <c r="D57" s="17" t="s">
        <v>31</v>
      </c>
      <c r="E57" s="17" t="s">
        <v>32</v>
      </c>
      <c r="F57" s="17" t="s">
        <v>16</v>
      </c>
      <c r="G57" s="17" t="s">
        <v>17</v>
      </c>
      <c r="H57" s="17" t="s">
        <v>18</v>
      </c>
      <c r="I57" s="94"/>
    </row>
    <row r="58" spans="1:9" x14ac:dyDescent="0.2">
      <c r="A58" s="17">
        <v>7</v>
      </c>
      <c r="B58" s="71" t="s">
        <v>46</v>
      </c>
      <c r="C58" s="35" t="s">
        <v>19</v>
      </c>
      <c r="D58" s="35" t="s">
        <v>19</v>
      </c>
      <c r="E58" s="35" t="s">
        <v>35</v>
      </c>
      <c r="F58" s="1" t="s">
        <v>2</v>
      </c>
      <c r="G58" s="1" t="s">
        <v>2</v>
      </c>
      <c r="H58" s="1" t="s">
        <v>2</v>
      </c>
      <c r="I58" s="3" t="s">
        <v>2</v>
      </c>
    </row>
    <row r="59" spans="1:9" x14ac:dyDescent="0.2">
      <c r="A59">
        <v>1</v>
      </c>
      <c r="B59" s="72" t="s">
        <v>2</v>
      </c>
      <c r="C59" s="73" t="s">
        <v>2</v>
      </c>
      <c r="D59" s="33" t="s">
        <v>195</v>
      </c>
      <c r="E59" s="73" t="s">
        <v>2</v>
      </c>
      <c r="F59" s="1" t="s">
        <v>2</v>
      </c>
      <c r="G59" s="1" t="s">
        <v>2</v>
      </c>
      <c r="H59" s="1" t="s">
        <v>2</v>
      </c>
      <c r="I59" s="3" t="s">
        <v>2</v>
      </c>
    </row>
    <row r="60" spans="1:9" x14ac:dyDescent="0.2">
      <c r="A60">
        <v>2</v>
      </c>
      <c r="B60" s="72" t="s">
        <v>2</v>
      </c>
      <c r="C60" s="31" t="s">
        <v>2</v>
      </c>
      <c r="D60" s="31" t="s">
        <v>2</v>
      </c>
      <c r="E60" s="73" t="s">
        <v>2</v>
      </c>
      <c r="F60" s="1" t="s">
        <v>2</v>
      </c>
      <c r="G60" s="1" t="s">
        <v>2</v>
      </c>
      <c r="H60" s="1" t="s">
        <v>2</v>
      </c>
      <c r="I60" s="76" t="s">
        <v>188</v>
      </c>
    </row>
    <row r="61" spans="1:9" x14ac:dyDescent="0.2">
      <c r="A61">
        <v>3</v>
      </c>
      <c r="B61" s="72" t="s">
        <v>2</v>
      </c>
      <c r="C61" s="73" t="s">
        <v>2</v>
      </c>
      <c r="D61" s="33" t="s">
        <v>195</v>
      </c>
      <c r="E61" s="73" t="s">
        <v>2</v>
      </c>
      <c r="F61" s="1" t="s">
        <v>2</v>
      </c>
      <c r="G61" s="1" t="s">
        <v>2</v>
      </c>
      <c r="H61" s="1" t="s">
        <v>2</v>
      </c>
      <c r="I61" s="76" t="s">
        <v>189</v>
      </c>
    </row>
    <row r="62" spans="1:9" x14ac:dyDescent="0.2">
      <c r="A62">
        <v>4</v>
      </c>
      <c r="B62" s="72" t="s">
        <v>2</v>
      </c>
      <c r="C62" s="33" t="s">
        <v>194</v>
      </c>
      <c r="D62" s="73" t="s">
        <v>2</v>
      </c>
      <c r="E62" s="73" t="s">
        <v>2</v>
      </c>
      <c r="F62" s="1" t="s">
        <v>2</v>
      </c>
      <c r="G62" s="1" t="s">
        <v>2</v>
      </c>
      <c r="H62" s="1" t="s">
        <v>2</v>
      </c>
      <c r="I62" s="76" t="s">
        <v>190</v>
      </c>
    </row>
    <row r="63" spans="1:9" x14ac:dyDescent="0.2">
      <c r="A63">
        <v>5</v>
      </c>
      <c r="B63" s="72" t="s">
        <v>2</v>
      </c>
      <c r="C63" s="35" t="s">
        <v>19</v>
      </c>
      <c r="D63" s="35" t="s">
        <v>19</v>
      </c>
      <c r="E63" s="35" t="s">
        <v>19</v>
      </c>
      <c r="F63" s="1" t="s">
        <v>2</v>
      </c>
      <c r="G63" s="1" t="s">
        <v>2</v>
      </c>
      <c r="H63" s="1" t="s">
        <v>2</v>
      </c>
      <c r="I63" s="76" t="s">
        <v>188</v>
      </c>
    </row>
    <row r="64" spans="1:9" x14ac:dyDescent="0.2">
      <c r="A64">
        <v>6</v>
      </c>
      <c r="B64" s="72" t="s">
        <v>2</v>
      </c>
      <c r="C64" s="33" t="s">
        <v>194</v>
      </c>
      <c r="D64" s="33" t="s">
        <v>195</v>
      </c>
      <c r="E64" s="73" t="s">
        <v>2</v>
      </c>
      <c r="F64" s="1" t="s">
        <v>2</v>
      </c>
      <c r="G64" s="1" t="s">
        <v>2</v>
      </c>
      <c r="H64" s="1" t="s">
        <v>2</v>
      </c>
      <c r="I64" s="76" t="s">
        <v>188</v>
      </c>
    </row>
    <row r="65" spans="1:9" ht="17" customHeight="1" x14ac:dyDescent="0.2">
      <c r="A65">
        <v>7</v>
      </c>
      <c r="B65" s="72" t="s">
        <v>2</v>
      </c>
      <c r="C65" s="33" t="s">
        <v>194</v>
      </c>
      <c r="D65" s="33" t="s">
        <v>195</v>
      </c>
      <c r="E65" s="73" t="s">
        <v>2</v>
      </c>
      <c r="F65" s="1" t="s">
        <v>2</v>
      </c>
      <c r="G65" s="1" t="s">
        <v>2</v>
      </c>
      <c r="H65" s="1" t="s">
        <v>2</v>
      </c>
      <c r="I65" s="76" t="s">
        <v>191</v>
      </c>
    </row>
    <row r="66" spans="1:9" ht="17" customHeight="1" x14ac:dyDescent="0.2">
      <c r="A66">
        <v>8</v>
      </c>
      <c r="B66" s="72" t="s">
        <v>2</v>
      </c>
      <c r="C66" s="73" t="s">
        <v>2</v>
      </c>
      <c r="D66" s="73" t="s">
        <v>2</v>
      </c>
      <c r="E66" s="73" t="s">
        <v>2</v>
      </c>
      <c r="F66" s="1" t="s">
        <v>2</v>
      </c>
      <c r="G66" s="1" t="s">
        <v>2</v>
      </c>
      <c r="H66" s="1" t="s">
        <v>2</v>
      </c>
      <c r="I66" s="3" t="s">
        <v>2</v>
      </c>
    </row>
    <row r="67" spans="1:9" ht="17" customHeight="1" x14ac:dyDescent="0.2">
      <c r="A67">
        <v>9</v>
      </c>
      <c r="B67" s="35" t="s">
        <v>19</v>
      </c>
      <c r="C67" s="73" t="s">
        <v>2</v>
      </c>
      <c r="D67" s="73" t="s">
        <v>2</v>
      </c>
      <c r="E67" s="73" t="s">
        <v>2</v>
      </c>
      <c r="F67" s="78" t="s">
        <v>184</v>
      </c>
      <c r="G67" s="78" t="s">
        <v>184</v>
      </c>
      <c r="H67" s="78" t="s">
        <v>184</v>
      </c>
      <c r="I67" s="76" t="s">
        <v>192</v>
      </c>
    </row>
    <row r="68" spans="1:9" x14ac:dyDescent="0.2">
      <c r="A68">
        <v>10</v>
      </c>
      <c r="B68" s="72" t="s">
        <v>2</v>
      </c>
      <c r="C68" s="73" t="s">
        <v>2</v>
      </c>
      <c r="D68" s="73" t="s">
        <v>2</v>
      </c>
      <c r="E68" s="73" t="s">
        <v>2</v>
      </c>
      <c r="F68" s="1" t="s">
        <v>2</v>
      </c>
      <c r="G68" s="1" t="s">
        <v>2</v>
      </c>
      <c r="H68" s="1" t="s">
        <v>2</v>
      </c>
      <c r="I68" s="64" t="s">
        <v>193</v>
      </c>
    </row>
    <row r="71" spans="1:9" x14ac:dyDescent="0.2">
      <c r="A71" t="s">
        <v>201</v>
      </c>
      <c r="B71">
        <v>7</v>
      </c>
    </row>
    <row r="72" spans="1:9" x14ac:dyDescent="0.2">
      <c r="A72" s="79" t="s">
        <v>198</v>
      </c>
      <c r="B72" t="s">
        <v>200</v>
      </c>
      <c r="C72" t="s">
        <v>202</v>
      </c>
      <c r="D72" t="s">
        <v>202</v>
      </c>
      <c r="E72" t="s">
        <v>202</v>
      </c>
      <c r="F72" t="s">
        <v>200</v>
      </c>
      <c r="G72" t="s">
        <v>200</v>
      </c>
      <c r="H72" t="s">
        <v>200</v>
      </c>
      <c r="I72" t="s">
        <v>200</v>
      </c>
    </row>
    <row r="73" spans="1:9" x14ac:dyDescent="0.2">
      <c r="A73" s="79" t="s">
        <v>196</v>
      </c>
      <c r="B73">
        <v>9</v>
      </c>
      <c r="C73">
        <v>9</v>
      </c>
      <c r="D73">
        <v>9</v>
      </c>
      <c r="E73">
        <v>9</v>
      </c>
      <c r="F73">
        <v>10</v>
      </c>
      <c r="G73">
        <v>10</v>
      </c>
      <c r="H73">
        <v>10</v>
      </c>
      <c r="I73">
        <v>10</v>
      </c>
    </row>
    <row r="74" spans="1:9" x14ac:dyDescent="0.2">
      <c r="A74" s="79" t="s">
        <v>197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s="79" t="s">
        <v>199</v>
      </c>
      <c r="B75" s="80">
        <f xml:space="preserve"> B74/SUM(B73,B74)</f>
        <v>0.1</v>
      </c>
      <c r="C75" s="131">
        <f>SUM(C74:E74)/SUM(C73:E74)</f>
        <v>0.1</v>
      </c>
      <c r="D75" s="131"/>
      <c r="E75" s="131"/>
      <c r="F75" s="131">
        <f>SUM(F74:H74)/SUM(F73:H74)</f>
        <v>0</v>
      </c>
      <c r="G75" s="131"/>
      <c r="H75" s="131"/>
      <c r="I75" s="80">
        <f t="shared" ref="I75" si="2" xml:space="preserve"> I74/SUM(I73,I74)</f>
        <v>0</v>
      </c>
    </row>
    <row r="78" spans="1:9" s="74" customFormat="1" x14ac:dyDescent="0.2">
      <c r="A78" s="74" t="s">
        <v>201</v>
      </c>
      <c r="B78" s="74">
        <v>7</v>
      </c>
    </row>
    <row r="79" spans="1:9" s="83" customFormat="1" x14ac:dyDescent="0.2">
      <c r="A79" s="83" t="s">
        <v>198</v>
      </c>
      <c r="B79" s="83" t="s">
        <v>200</v>
      </c>
      <c r="C79" s="83" t="s">
        <v>202</v>
      </c>
      <c r="D79" s="83" t="s">
        <v>202</v>
      </c>
      <c r="E79" s="84" t="s">
        <v>202</v>
      </c>
      <c r="F79" s="85" t="s">
        <v>200</v>
      </c>
      <c r="G79" s="85" t="s">
        <v>200</v>
      </c>
      <c r="H79" s="83" t="s">
        <v>200</v>
      </c>
      <c r="I79" s="83" t="s">
        <v>200</v>
      </c>
    </row>
    <row r="80" spans="1:9" s="83" customFormat="1" x14ac:dyDescent="0.2">
      <c r="A80" s="83" t="s">
        <v>196</v>
      </c>
      <c r="B80" s="83">
        <v>9</v>
      </c>
      <c r="C80" s="83">
        <v>6</v>
      </c>
      <c r="D80" s="83">
        <v>5</v>
      </c>
      <c r="E80" s="83">
        <v>9</v>
      </c>
      <c r="F80" s="83">
        <v>9</v>
      </c>
      <c r="G80" s="83">
        <v>9</v>
      </c>
      <c r="H80" s="83">
        <v>9</v>
      </c>
      <c r="I80" s="83">
        <v>2</v>
      </c>
    </row>
    <row r="81" spans="1:9" s="83" customFormat="1" ht="15" customHeight="1" x14ac:dyDescent="0.2">
      <c r="A81" s="83" t="s">
        <v>197</v>
      </c>
      <c r="B81" s="83">
        <v>1</v>
      </c>
      <c r="C81" s="83">
        <v>4</v>
      </c>
      <c r="D81" s="83">
        <v>5</v>
      </c>
      <c r="E81" s="83">
        <v>2</v>
      </c>
      <c r="F81" s="83">
        <v>1</v>
      </c>
      <c r="G81" s="83">
        <v>1</v>
      </c>
      <c r="H81" s="83">
        <v>1</v>
      </c>
      <c r="I81" s="83">
        <v>8</v>
      </c>
    </row>
    <row r="82" spans="1:9" s="83" customFormat="1" x14ac:dyDescent="0.2">
      <c r="A82" s="83" t="s">
        <v>199</v>
      </c>
      <c r="B82" s="86">
        <f xml:space="preserve"> B80/SUM(B80,B81)</f>
        <v>0.9</v>
      </c>
      <c r="C82" s="130">
        <f>SUM(C80:E80)/SUM(C80:E81)</f>
        <v>0.64516129032258063</v>
      </c>
      <c r="D82" s="130"/>
      <c r="E82" s="130"/>
      <c r="F82" s="130">
        <f>SUM(F80:H80)/SUM(F80:H81)</f>
        <v>0.9</v>
      </c>
      <c r="G82" s="130"/>
      <c r="H82" s="130"/>
      <c r="I82" s="86">
        <f xml:space="preserve"> I80/SUM(I80,I81)</f>
        <v>0.2</v>
      </c>
    </row>
  </sheetData>
  <mergeCells count="29">
    <mergeCell ref="I28:I29"/>
    <mergeCell ref="F1:H1"/>
    <mergeCell ref="I56:I57"/>
    <mergeCell ref="C56:E56"/>
    <mergeCell ref="F56:H56"/>
    <mergeCell ref="I1:I2"/>
    <mergeCell ref="F3:H3"/>
    <mergeCell ref="C19:E19"/>
    <mergeCell ref="F19:H19"/>
    <mergeCell ref="F30:H30"/>
    <mergeCell ref="C25:E25"/>
    <mergeCell ref="F25:H25"/>
    <mergeCell ref="C52:E52"/>
    <mergeCell ref="F52:H52"/>
    <mergeCell ref="A1:A2"/>
    <mergeCell ref="B1:B2"/>
    <mergeCell ref="C1:E1"/>
    <mergeCell ref="C46:E46"/>
    <mergeCell ref="F46:H46"/>
    <mergeCell ref="A28:A29"/>
    <mergeCell ref="B28:B29"/>
    <mergeCell ref="C28:E28"/>
    <mergeCell ref="F28:H28"/>
    <mergeCell ref="C82:E82"/>
    <mergeCell ref="F82:H82"/>
    <mergeCell ref="C75:E75"/>
    <mergeCell ref="F75:H75"/>
    <mergeCell ref="A56:A57"/>
    <mergeCell ref="B56:B57"/>
  </mergeCells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0A6C6-A631-A84E-AA87-18DD4F2E44CC}">
  <dimension ref="A1:I82"/>
  <sheetViews>
    <sheetView tabSelected="1" workbookViewId="0">
      <selection activeCell="B59" sqref="B59:I68"/>
    </sheetView>
  </sheetViews>
  <sheetFormatPr baseColWidth="10" defaultRowHeight="16" x14ac:dyDescent="0.2"/>
  <cols>
    <col min="2" max="2" width="20.6640625" customWidth="1"/>
    <col min="3" max="3" width="20.83203125" customWidth="1"/>
    <col min="4" max="4" width="20.6640625" customWidth="1"/>
    <col min="5" max="7" width="20.83203125" customWidth="1"/>
    <col min="8" max="8" width="20.6640625" customWidth="1"/>
    <col min="9" max="9" width="20.83203125" customWidth="1"/>
  </cols>
  <sheetData>
    <row r="1" spans="1:9" x14ac:dyDescent="0.2">
      <c r="A1" s="107" t="s">
        <v>10</v>
      </c>
      <c r="B1" s="114" t="s">
        <v>57</v>
      </c>
      <c r="C1" s="96" t="s">
        <v>58</v>
      </c>
      <c r="D1" s="96"/>
      <c r="E1" s="96"/>
      <c r="F1" s="111" t="s">
        <v>59</v>
      </c>
      <c r="G1" s="112"/>
      <c r="H1" s="113"/>
      <c r="I1" s="93" t="s">
        <v>60</v>
      </c>
    </row>
    <row r="2" spans="1:9" x14ac:dyDescent="0.2">
      <c r="A2" s="107"/>
      <c r="B2" s="111"/>
      <c r="C2" s="23" t="s">
        <v>30</v>
      </c>
      <c r="D2" s="23" t="s">
        <v>31</v>
      </c>
      <c r="E2" s="23" t="s">
        <v>32</v>
      </c>
      <c r="F2" s="23" t="s">
        <v>16</v>
      </c>
      <c r="G2" s="23" t="s">
        <v>17</v>
      </c>
      <c r="H2" s="23" t="s">
        <v>18</v>
      </c>
      <c r="I2" s="94"/>
    </row>
    <row r="3" spans="1:9" x14ac:dyDescent="0.2">
      <c r="A3" s="17">
        <v>2</v>
      </c>
      <c r="B3" s="3" t="s">
        <v>2</v>
      </c>
      <c r="C3" s="144" t="s">
        <v>2</v>
      </c>
      <c r="D3" s="2" t="s">
        <v>216</v>
      </c>
      <c r="E3" s="145" t="s">
        <v>41</v>
      </c>
      <c r="F3" s="5" t="s">
        <v>218</v>
      </c>
      <c r="G3" s="5" t="s">
        <v>218</v>
      </c>
      <c r="H3" s="5" t="s">
        <v>218</v>
      </c>
      <c r="I3" s="8" t="s">
        <v>220</v>
      </c>
    </row>
    <row r="4" spans="1:9" x14ac:dyDescent="0.2">
      <c r="A4">
        <v>1</v>
      </c>
      <c r="B4" s="147"/>
      <c r="C4" s="148"/>
      <c r="D4" s="148"/>
      <c r="E4" s="148"/>
      <c r="F4" s="149"/>
      <c r="G4" s="149"/>
      <c r="H4" s="150"/>
      <c r="I4" s="151"/>
    </row>
    <row r="5" spans="1:9" x14ac:dyDescent="0.2">
      <c r="A5">
        <v>2</v>
      </c>
      <c r="B5" s="147"/>
      <c r="C5" s="148"/>
      <c r="D5" s="148"/>
      <c r="E5" s="148"/>
      <c r="F5" s="149"/>
      <c r="G5" s="149"/>
      <c r="H5" s="150"/>
      <c r="I5" s="151"/>
    </row>
    <row r="6" spans="1:9" x14ac:dyDescent="0.2">
      <c r="A6">
        <v>3</v>
      </c>
      <c r="B6" s="147"/>
      <c r="C6" s="148"/>
      <c r="D6" s="148"/>
      <c r="E6" s="148"/>
      <c r="F6" s="149"/>
      <c r="G6" s="149"/>
      <c r="H6" s="150"/>
      <c r="I6" s="150"/>
    </row>
    <row r="7" spans="1:9" x14ac:dyDescent="0.2">
      <c r="A7">
        <v>4</v>
      </c>
      <c r="B7" s="147"/>
      <c r="C7" s="148"/>
      <c r="D7" s="148"/>
      <c r="E7" s="148"/>
      <c r="F7" s="149"/>
      <c r="G7" s="149"/>
      <c r="H7" s="150"/>
      <c r="I7" s="151"/>
    </row>
    <row r="8" spans="1:9" x14ac:dyDescent="0.2">
      <c r="A8">
        <v>5</v>
      </c>
      <c r="B8" s="147"/>
      <c r="C8" s="148"/>
      <c r="D8" s="148"/>
      <c r="E8" s="148"/>
      <c r="F8" s="149"/>
      <c r="G8" s="149"/>
      <c r="H8" s="150"/>
      <c r="I8" s="151"/>
    </row>
    <row r="9" spans="1:9" x14ac:dyDescent="0.2">
      <c r="A9">
        <v>6</v>
      </c>
      <c r="B9" s="147"/>
      <c r="C9" s="148"/>
      <c r="D9" s="148"/>
      <c r="E9" s="148"/>
      <c r="F9" s="149"/>
      <c r="G9" s="149"/>
      <c r="H9" s="150"/>
      <c r="I9" s="150"/>
    </row>
    <row r="10" spans="1:9" x14ac:dyDescent="0.2">
      <c r="A10">
        <v>7</v>
      </c>
      <c r="B10" s="147"/>
      <c r="C10" s="148"/>
      <c r="D10" s="148"/>
      <c r="E10" s="148"/>
      <c r="F10" s="149"/>
      <c r="G10" s="149"/>
      <c r="H10" s="150"/>
      <c r="I10" s="150"/>
    </row>
    <row r="11" spans="1:9" x14ac:dyDescent="0.2">
      <c r="A11">
        <v>8</v>
      </c>
      <c r="B11" s="147"/>
      <c r="C11" s="152"/>
      <c r="D11" s="148"/>
      <c r="E11" s="148"/>
      <c r="F11" s="149"/>
      <c r="G11" s="149"/>
      <c r="H11" s="150"/>
      <c r="I11" s="150"/>
    </row>
    <row r="12" spans="1:9" x14ac:dyDescent="0.2">
      <c r="A12">
        <v>9</v>
      </c>
      <c r="B12" s="147"/>
      <c r="C12" s="148"/>
      <c r="D12" s="153"/>
      <c r="E12" s="148"/>
      <c r="F12" s="149"/>
      <c r="G12" s="149"/>
      <c r="H12" s="150"/>
      <c r="I12" s="154"/>
    </row>
    <row r="13" spans="1:9" x14ac:dyDescent="0.2">
      <c r="A13">
        <v>10</v>
      </c>
      <c r="B13" s="147"/>
      <c r="C13" s="148"/>
      <c r="D13" s="148"/>
      <c r="E13" s="148"/>
      <c r="F13" s="149"/>
      <c r="G13" s="149"/>
      <c r="H13" s="155"/>
      <c r="I13" s="150"/>
    </row>
    <row r="15" spans="1:9" x14ac:dyDescent="0.2">
      <c r="A15" t="s">
        <v>201</v>
      </c>
      <c r="B15">
        <v>2</v>
      </c>
    </row>
    <row r="16" spans="1:9" x14ac:dyDescent="0.2">
      <c r="A16" s="79" t="s">
        <v>198</v>
      </c>
      <c r="B16" t="s">
        <v>200</v>
      </c>
      <c r="C16" t="s">
        <v>200</v>
      </c>
      <c r="D16" t="s">
        <v>200</v>
      </c>
      <c r="E16" s="29" t="s">
        <v>200</v>
      </c>
      <c r="F16" s="14" t="s">
        <v>203</v>
      </c>
      <c r="G16" s="14" t="s">
        <v>202</v>
      </c>
      <c r="H16" t="s">
        <v>202</v>
      </c>
      <c r="I16" t="s">
        <v>202</v>
      </c>
    </row>
    <row r="17" spans="1:9" x14ac:dyDescent="0.2">
      <c r="A17" s="79" t="s">
        <v>196</v>
      </c>
      <c r="B17">
        <v>10</v>
      </c>
      <c r="C17">
        <v>10</v>
      </c>
      <c r="D17">
        <v>9</v>
      </c>
      <c r="E17">
        <v>10</v>
      </c>
      <c r="F17">
        <v>10</v>
      </c>
      <c r="G17">
        <v>10</v>
      </c>
      <c r="H17">
        <v>10</v>
      </c>
      <c r="I17">
        <v>9</v>
      </c>
    </row>
    <row r="18" spans="1:9" x14ac:dyDescent="0.2">
      <c r="A18" s="79" t="s">
        <v>197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1</v>
      </c>
    </row>
    <row r="19" spans="1:9" x14ac:dyDescent="0.2">
      <c r="A19" s="79" t="s">
        <v>199</v>
      </c>
      <c r="B19" s="80">
        <f xml:space="preserve"> B18/SUM(B17,B18)</f>
        <v>0</v>
      </c>
      <c r="C19" s="131">
        <f>SUM(C18:E18)/SUM(C17:E18)</f>
        <v>3.3333333333333333E-2</v>
      </c>
      <c r="D19" s="131"/>
      <c r="E19" s="131"/>
      <c r="F19" s="131">
        <f>SUM(F18:H18)/SUM(F17:H18)</f>
        <v>0</v>
      </c>
      <c r="G19" s="131"/>
      <c r="H19" s="131"/>
      <c r="I19" s="80">
        <f t="shared" ref="I19" si="0" xml:space="preserve"> I18/SUM(I17,I18)</f>
        <v>0.1</v>
      </c>
    </row>
    <row r="20" spans="1:9" x14ac:dyDescent="0.2">
      <c r="A20" s="87" t="s">
        <v>213</v>
      </c>
    </row>
    <row r="21" spans="1:9" x14ac:dyDescent="0.2">
      <c r="A21" s="74" t="s">
        <v>201</v>
      </c>
      <c r="B21" s="74">
        <v>2</v>
      </c>
      <c r="C21" s="74"/>
      <c r="D21" s="74"/>
      <c r="E21" s="74"/>
      <c r="F21" s="74"/>
      <c r="G21" s="74"/>
      <c r="H21" s="74"/>
      <c r="I21" s="74"/>
    </row>
    <row r="22" spans="1:9" x14ac:dyDescent="0.2">
      <c r="A22" s="83" t="s">
        <v>198</v>
      </c>
      <c r="B22" s="83" t="s">
        <v>200</v>
      </c>
      <c r="C22" s="83" t="s">
        <v>202</v>
      </c>
      <c r="D22" s="83" t="s">
        <v>200</v>
      </c>
      <c r="E22" s="84" t="s">
        <v>200</v>
      </c>
      <c r="F22" s="85" t="s">
        <v>202</v>
      </c>
      <c r="G22" s="85" t="s">
        <v>202</v>
      </c>
      <c r="H22" s="83" t="s">
        <v>203</v>
      </c>
      <c r="I22" s="83" t="s">
        <v>202</v>
      </c>
    </row>
    <row r="23" spans="1:9" x14ac:dyDescent="0.2">
      <c r="A23" s="83" t="s">
        <v>196</v>
      </c>
      <c r="B23" s="83">
        <v>10</v>
      </c>
      <c r="C23" s="83">
        <v>9</v>
      </c>
      <c r="D23" s="83">
        <v>9</v>
      </c>
      <c r="E23" s="83">
        <v>10</v>
      </c>
      <c r="F23" s="83">
        <v>10</v>
      </c>
      <c r="G23" s="83">
        <v>10</v>
      </c>
      <c r="H23" s="83">
        <v>10</v>
      </c>
      <c r="I23" s="83">
        <v>6</v>
      </c>
    </row>
    <row r="24" spans="1:9" x14ac:dyDescent="0.2">
      <c r="A24" s="83" t="s">
        <v>197</v>
      </c>
      <c r="B24" s="83">
        <v>0</v>
      </c>
      <c r="C24" s="83">
        <v>1</v>
      </c>
      <c r="D24" s="83">
        <v>1</v>
      </c>
      <c r="E24" s="83">
        <v>0</v>
      </c>
      <c r="F24" s="83">
        <v>0</v>
      </c>
      <c r="G24" s="83">
        <v>0</v>
      </c>
      <c r="H24" s="83">
        <v>0</v>
      </c>
      <c r="I24" s="83">
        <v>4</v>
      </c>
    </row>
    <row r="25" spans="1:9" x14ac:dyDescent="0.2">
      <c r="A25" s="83" t="s">
        <v>199</v>
      </c>
      <c r="B25" s="86">
        <f xml:space="preserve"> B23/SUM(B23,B24)</f>
        <v>1</v>
      </c>
      <c r="C25" s="130">
        <f>SUM(C23:E23)/SUM(C23:E24)</f>
        <v>0.93333333333333335</v>
      </c>
      <c r="D25" s="130"/>
      <c r="E25" s="130"/>
      <c r="F25" s="130">
        <f>SUM(F23:H23)/SUM(F23:H24)</f>
        <v>1</v>
      </c>
      <c r="G25" s="130"/>
      <c r="H25" s="130"/>
      <c r="I25" s="86">
        <f xml:space="preserve"> I23/SUM(I23,I24)</f>
        <v>0.6</v>
      </c>
    </row>
    <row r="27" spans="1:9" x14ac:dyDescent="0.2">
      <c r="A27" s="75">
        <v>3</v>
      </c>
      <c r="B27" s="75" t="s">
        <v>166</v>
      </c>
      <c r="C27" s="75" t="s">
        <v>167</v>
      </c>
      <c r="D27" s="75" t="s">
        <v>168</v>
      </c>
      <c r="E27" s="75" t="s">
        <v>169</v>
      </c>
      <c r="F27" s="75" t="s">
        <v>170</v>
      </c>
      <c r="G27" s="75" t="s">
        <v>171</v>
      </c>
      <c r="H27" s="75" t="s">
        <v>172</v>
      </c>
      <c r="I27" s="75" t="s">
        <v>173</v>
      </c>
    </row>
    <row r="28" spans="1:9" x14ac:dyDescent="0.2">
      <c r="A28" s="107" t="s">
        <v>10</v>
      </c>
      <c r="B28" s="133" t="s">
        <v>57</v>
      </c>
      <c r="C28" s="96" t="s">
        <v>58</v>
      </c>
      <c r="D28" s="96"/>
      <c r="E28" s="96"/>
      <c r="F28" s="133" t="s">
        <v>59</v>
      </c>
      <c r="G28" s="133"/>
      <c r="H28" s="133"/>
      <c r="I28" s="133" t="s">
        <v>60</v>
      </c>
    </row>
    <row r="29" spans="1:9" x14ac:dyDescent="0.2">
      <c r="A29" s="107"/>
      <c r="B29" s="133"/>
      <c r="C29" s="17" t="s">
        <v>30</v>
      </c>
      <c r="D29" s="17" t="s">
        <v>31</v>
      </c>
      <c r="E29" s="17" t="s">
        <v>32</v>
      </c>
      <c r="F29" s="17" t="s">
        <v>16</v>
      </c>
      <c r="G29" s="17" t="s">
        <v>17</v>
      </c>
      <c r="H29" s="17" t="s">
        <v>18</v>
      </c>
      <c r="I29" s="133"/>
    </row>
    <row r="30" spans="1:9" x14ac:dyDescent="0.2">
      <c r="A30" s="23">
        <v>3</v>
      </c>
      <c r="B30" s="72" t="s">
        <v>2</v>
      </c>
      <c r="C30" s="73" t="s">
        <v>2</v>
      </c>
      <c r="D30" s="73" t="s">
        <v>2</v>
      </c>
      <c r="E30" s="73" t="s">
        <v>2</v>
      </c>
      <c r="F30" s="146" t="s">
        <v>219</v>
      </c>
      <c r="G30" s="146" t="s">
        <v>219</v>
      </c>
      <c r="H30" s="146" t="s">
        <v>219</v>
      </c>
      <c r="I30" s="8" t="s">
        <v>221</v>
      </c>
    </row>
    <row r="31" spans="1:9" x14ac:dyDescent="0.2">
      <c r="A31">
        <v>1</v>
      </c>
      <c r="B31" s="150"/>
      <c r="C31" s="156"/>
      <c r="D31" s="156"/>
      <c r="E31" s="156"/>
      <c r="F31" s="149"/>
      <c r="G31" s="149"/>
      <c r="H31" s="150"/>
      <c r="I31" s="147"/>
    </row>
    <row r="32" spans="1:9" x14ac:dyDescent="0.2">
      <c r="A32">
        <v>2</v>
      </c>
      <c r="B32" s="150"/>
      <c r="C32" s="156"/>
      <c r="D32" s="156"/>
      <c r="E32" s="156"/>
      <c r="F32" s="149"/>
      <c r="G32" s="149"/>
      <c r="H32" s="149"/>
      <c r="I32" s="147"/>
    </row>
    <row r="33" spans="1:9" x14ac:dyDescent="0.2">
      <c r="A33">
        <v>3</v>
      </c>
      <c r="B33" s="150"/>
      <c r="C33" s="156"/>
      <c r="D33" s="156"/>
      <c r="E33" s="156"/>
      <c r="F33" s="149"/>
      <c r="G33" s="149"/>
      <c r="H33" s="150"/>
      <c r="I33" s="147"/>
    </row>
    <row r="34" spans="1:9" x14ac:dyDescent="0.2">
      <c r="A34">
        <v>4</v>
      </c>
      <c r="B34" s="150"/>
      <c r="C34" s="156"/>
      <c r="D34" s="156"/>
      <c r="E34" s="156"/>
      <c r="F34" s="149"/>
      <c r="G34" s="149"/>
      <c r="H34" s="150"/>
      <c r="I34" s="157"/>
    </row>
    <row r="35" spans="1:9" x14ac:dyDescent="0.2">
      <c r="A35">
        <v>5</v>
      </c>
      <c r="B35" s="150"/>
      <c r="C35" s="156"/>
      <c r="D35" s="156"/>
      <c r="E35" s="156"/>
      <c r="F35" s="149"/>
      <c r="G35" s="149"/>
      <c r="H35" s="150"/>
      <c r="I35" s="150"/>
    </row>
    <row r="36" spans="1:9" x14ac:dyDescent="0.2">
      <c r="A36">
        <v>6</v>
      </c>
      <c r="B36" s="150"/>
      <c r="C36" s="156"/>
      <c r="D36" s="156"/>
      <c r="E36" s="156"/>
      <c r="F36" s="149"/>
      <c r="G36" s="149"/>
      <c r="H36" s="150"/>
      <c r="I36" s="147"/>
    </row>
    <row r="37" spans="1:9" x14ac:dyDescent="0.2">
      <c r="A37">
        <v>7</v>
      </c>
      <c r="B37" s="150"/>
      <c r="C37" s="156"/>
      <c r="D37" s="156"/>
      <c r="E37" s="156"/>
      <c r="F37" s="149"/>
      <c r="G37" s="149"/>
      <c r="H37" s="150"/>
      <c r="I37" s="147"/>
    </row>
    <row r="38" spans="1:9" x14ac:dyDescent="0.2">
      <c r="A38">
        <v>8</v>
      </c>
      <c r="B38" s="150"/>
      <c r="C38" s="156"/>
      <c r="D38" s="156"/>
      <c r="E38" s="156"/>
      <c r="F38" s="157"/>
      <c r="G38" s="157"/>
      <c r="H38" s="157"/>
      <c r="I38" s="150"/>
    </row>
    <row r="39" spans="1:9" x14ac:dyDescent="0.2">
      <c r="A39">
        <v>9</v>
      </c>
      <c r="B39" s="150"/>
      <c r="C39" s="156"/>
      <c r="D39" s="156"/>
      <c r="E39" s="156"/>
      <c r="F39" s="155"/>
      <c r="G39" s="149"/>
      <c r="H39" s="150"/>
      <c r="I39" s="150"/>
    </row>
    <row r="40" spans="1:9" x14ac:dyDescent="0.2">
      <c r="A40">
        <v>10</v>
      </c>
      <c r="B40" s="150"/>
      <c r="C40" s="156"/>
      <c r="D40" s="156"/>
      <c r="E40" s="156"/>
      <c r="F40" s="149"/>
      <c r="G40" s="149"/>
      <c r="H40" s="150"/>
      <c r="I40" s="150"/>
    </row>
    <row r="42" spans="1:9" x14ac:dyDescent="0.2">
      <c r="A42" t="s">
        <v>201</v>
      </c>
      <c r="B42">
        <v>3</v>
      </c>
    </row>
    <row r="43" spans="1:9" x14ac:dyDescent="0.2">
      <c r="A43" s="79" t="s">
        <v>198</v>
      </c>
      <c r="B43" t="s">
        <v>200</v>
      </c>
      <c r="C43" t="s">
        <v>200</v>
      </c>
      <c r="D43" t="s">
        <v>200</v>
      </c>
      <c r="E43" s="29" t="s">
        <v>200</v>
      </c>
      <c r="F43" s="14" t="s">
        <v>200</v>
      </c>
      <c r="G43" s="14" t="s">
        <v>200</v>
      </c>
      <c r="H43" t="s">
        <v>200</v>
      </c>
      <c r="I43" t="s">
        <v>200</v>
      </c>
    </row>
    <row r="44" spans="1:9" x14ac:dyDescent="0.2">
      <c r="A44" s="79" t="s">
        <v>196</v>
      </c>
      <c r="B44">
        <v>10</v>
      </c>
      <c r="C44">
        <v>10</v>
      </c>
      <c r="D44">
        <v>10</v>
      </c>
      <c r="E44">
        <v>10</v>
      </c>
      <c r="F44">
        <v>9</v>
      </c>
      <c r="G44">
        <v>9</v>
      </c>
      <c r="H44">
        <v>9</v>
      </c>
      <c r="I44">
        <v>9</v>
      </c>
    </row>
    <row r="45" spans="1:9" x14ac:dyDescent="0.2">
      <c r="A45" s="79" t="s">
        <v>197</v>
      </c>
      <c r="B45">
        <v>0</v>
      </c>
      <c r="C45">
        <v>0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</row>
    <row r="46" spans="1:9" x14ac:dyDescent="0.2">
      <c r="A46" s="79" t="s">
        <v>199</v>
      </c>
      <c r="B46" s="80">
        <f xml:space="preserve"> B45/SUM(B44,B45)</f>
        <v>0</v>
      </c>
      <c r="C46" s="131">
        <f>SUM(C45:E45)/SUM(C44:E45)</f>
        <v>0</v>
      </c>
      <c r="D46" s="131"/>
      <c r="E46" s="131"/>
      <c r="F46" s="131">
        <f>SUM(F45:H45)/SUM(F44:H45)</f>
        <v>0.1</v>
      </c>
      <c r="G46" s="131"/>
      <c r="H46" s="131"/>
      <c r="I46" s="80">
        <f t="shared" ref="I46" si="1" xml:space="preserve"> I45/SUM(I44,I45)</f>
        <v>0.1</v>
      </c>
    </row>
    <row r="48" spans="1:9" x14ac:dyDescent="0.2">
      <c r="A48" s="74" t="s">
        <v>201</v>
      </c>
      <c r="B48" s="74">
        <v>3</v>
      </c>
      <c r="C48" s="74"/>
      <c r="D48" s="74"/>
      <c r="E48" s="74"/>
      <c r="F48" s="74"/>
      <c r="G48" s="74"/>
      <c r="H48" s="74"/>
      <c r="I48" s="74"/>
    </row>
    <row r="49" spans="1:9" x14ac:dyDescent="0.2">
      <c r="A49" s="83" t="s">
        <v>198</v>
      </c>
      <c r="B49" s="83" t="s">
        <v>200</v>
      </c>
      <c r="C49" s="83" t="s">
        <v>200</v>
      </c>
      <c r="D49" s="83" t="s">
        <v>200</v>
      </c>
      <c r="E49" s="84" t="s">
        <v>200</v>
      </c>
      <c r="F49" s="85" t="s">
        <v>202</v>
      </c>
      <c r="G49" s="85" t="s">
        <v>202</v>
      </c>
      <c r="H49" s="83" t="s">
        <v>203</v>
      </c>
      <c r="I49" s="83" t="s">
        <v>200</v>
      </c>
    </row>
    <row r="50" spans="1:9" x14ac:dyDescent="0.2">
      <c r="A50" s="83" t="s">
        <v>196</v>
      </c>
      <c r="B50" s="83">
        <v>10</v>
      </c>
      <c r="C50" s="83">
        <v>10</v>
      </c>
      <c r="D50" s="83">
        <v>10</v>
      </c>
      <c r="E50" s="83">
        <v>10</v>
      </c>
      <c r="F50" s="83">
        <v>8</v>
      </c>
      <c r="G50" s="83">
        <v>9</v>
      </c>
      <c r="H50" s="83">
        <v>9</v>
      </c>
      <c r="I50" s="83">
        <v>9</v>
      </c>
    </row>
    <row r="51" spans="1:9" x14ac:dyDescent="0.2">
      <c r="A51" s="83" t="s">
        <v>197</v>
      </c>
      <c r="B51" s="83">
        <v>0</v>
      </c>
      <c r="C51" s="83">
        <v>0</v>
      </c>
      <c r="D51" s="83">
        <v>0</v>
      </c>
      <c r="E51" s="83">
        <v>0</v>
      </c>
      <c r="F51" s="83">
        <v>2</v>
      </c>
      <c r="G51" s="83">
        <v>1</v>
      </c>
      <c r="H51" s="83">
        <v>1</v>
      </c>
      <c r="I51" s="83">
        <v>1</v>
      </c>
    </row>
    <row r="52" spans="1:9" x14ac:dyDescent="0.2">
      <c r="A52" s="83" t="s">
        <v>199</v>
      </c>
      <c r="B52" s="86">
        <f xml:space="preserve"> B50/SUM(B50,B51)</f>
        <v>1</v>
      </c>
      <c r="C52" s="130">
        <f>SUM(C50:E50)/SUM(C50:E51)</f>
        <v>1</v>
      </c>
      <c r="D52" s="130"/>
      <c r="E52" s="130"/>
      <c r="F52" s="130">
        <f>SUM(F50:H50)/SUM(F50:H51)</f>
        <v>0.8666666666666667</v>
      </c>
      <c r="G52" s="130"/>
      <c r="H52" s="130"/>
      <c r="I52" s="86">
        <f xml:space="preserve"> I50/SUM(I50,I51)</f>
        <v>0.9</v>
      </c>
    </row>
    <row r="55" spans="1:9" x14ac:dyDescent="0.2">
      <c r="A55" s="75">
        <v>7</v>
      </c>
      <c r="B55" s="75" t="s">
        <v>174</v>
      </c>
      <c r="C55" s="75" t="s">
        <v>175</v>
      </c>
      <c r="D55" s="75" t="s">
        <v>176</v>
      </c>
      <c r="E55" s="75" t="s">
        <v>177</v>
      </c>
      <c r="F55" s="75" t="s">
        <v>178</v>
      </c>
      <c r="G55" s="75" t="s">
        <v>179</v>
      </c>
      <c r="H55" s="75" t="s">
        <v>180</v>
      </c>
      <c r="I55" s="75" t="s">
        <v>181</v>
      </c>
    </row>
    <row r="56" spans="1:9" x14ac:dyDescent="0.2">
      <c r="A56" s="117" t="s">
        <v>10</v>
      </c>
      <c r="B56" s="132" t="s">
        <v>57</v>
      </c>
      <c r="C56" s="134" t="s">
        <v>58</v>
      </c>
      <c r="D56" s="135"/>
      <c r="E56" s="136"/>
      <c r="F56" s="137" t="s">
        <v>59</v>
      </c>
      <c r="G56" s="138"/>
      <c r="H56" s="139"/>
      <c r="I56" s="132" t="s">
        <v>60</v>
      </c>
    </row>
    <row r="57" spans="1:9" x14ac:dyDescent="0.2">
      <c r="A57" s="118"/>
      <c r="B57" s="94"/>
      <c r="C57" s="17" t="s">
        <v>30</v>
      </c>
      <c r="D57" s="17" t="s">
        <v>31</v>
      </c>
      <c r="E57" s="17" t="s">
        <v>32</v>
      </c>
      <c r="F57" s="17" t="s">
        <v>16</v>
      </c>
      <c r="G57" s="17" t="s">
        <v>17</v>
      </c>
      <c r="H57" s="17" t="s">
        <v>18</v>
      </c>
      <c r="I57" s="94"/>
    </row>
    <row r="58" spans="1:9" x14ac:dyDescent="0.2">
      <c r="A58" s="17">
        <v>7</v>
      </c>
      <c r="B58" s="143" t="s">
        <v>215</v>
      </c>
      <c r="C58" s="144" t="s">
        <v>2</v>
      </c>
      <c r="D58" s="145" t="s">
        <v>217</v>
      </c>
      <c r="E58" s="145" t="s">
        <v>41</v>
      </c>
      <c r="F58" s="5" t="s">
        <v>184</v>
      </c>
      <c r="G58" s="5" t="s">
        <v>184</v>
      </c>
      <c r="H58" s="5" t="s">
        <v>184</v>
      </c>
      <c r="I58" s="8" t="s">
        <v>222</v>
      </c>
    </row>
    <row r="59" spans="1:9" x14ac:dyDescent="0.2">
      <c r="A59">
        <v>1</v>
      </c>
      <c r="B59" s="150"/>
      <c r="C59" s="156"/>
      <c r="D59" s="152"/>
      <c r="E59" s="156"/>
      <c r="F59" s="149"/>
      <c r="G59" s="149"/>
      <c r="H59" s="149"/>
      <c r="I59" s="147"/>
    </row>
    <row r="60" spans="1:9" x14ac:dyDescent="0.2">
      <c r="A60">
        <v>2</v>
      </c>
      <c r="B60" s="150"/>
      <c r="C60" s="148"/>
      <c r="D60" s="148"/>
      <c r="E60" s="156"/>
      <c r="F60" s="149"/>
      <c r="G60" s="149"/>
      <c r="H60" s="149"/>
      <c r="I60" s="149"/>
    </row>
    <row r="61" spans="1:9" x14ac:dyDescent="0.2">
      <c r="A61">
        <v>3</v>
      </c>
      <c r="B61" s="150"/>
      <c r="C61" s="156"/>
      <c r="D61" s="152"/>
      <c r="E61" s="156"/>
      <c r="F61" s="149"/>
      <c r="G61" s="149"/>
      <c r="H61" s="149"/>
      <c r="I61" s="149"/>
    </row>
    <row r="62" spans="1:9" x14ac:dyDescent="0.2">
      <c r="A62">
        <v>4</v>
      </c>
      <c r="B62" s="150"/>
      <c r="C62" s="152"/>
      <c r="D62" s="156"/>
      <c r="E62" s="156"/>
      <c r="F62" s="149"/>
      <c r="G62" s="149"/>
      <c r="H62" s="149"/>
      <c r="I62" s="149"/>
    </row>
    <row r="63" spans="1:9" x14ac:dyDescent="0.2">
      <c r="A63">
        <v>5</v>
      </c>
      <c r="B63" s="150"/>
      <c r="C63" s="153"/>
      <c r="D63" s="153"/>
      <c r="E63" s="153"/>
      <c r="F63" s="149"/>
      <c r="G63" s="149"/>
      <c r="H63" s="149"/>
      <c r="I63" s="149"/>
    </row>
    <row r="64" spans="1:9" x14ac:dyDescent="0.2">
      <c r="A64">
        <v>6</v>
      </c>
      <c r="B64" s="150"/>
      <c r="C64" s="152"/>
      <c r="D64" s="152"/>
      <c r="E64" s="156"/>
      <c r="F64" s="149"/>
      <c r="G64" s="149"/>
      <c r="H64" s="149"/>
      <c r="I64" s="149"/>
    </row>
    <row r="65" spans="1:9" x14ac:dyDescent="0.2">
      <c r="A65">
        <v>7</v>
      </c>
      <c r="B65" s="150"/>
      <c r="C65" s="152"/>
      <c r="D65" s="152"/>
      <c r="E65" s="156"/>
      <c r="F65" s="149"/>
      <c r="G65" s="149"/>
      <c r="H65" s="149"/>
      <c r="I65" s="149"/>
    </row>
    <row r="66" spans="1:9" x14ac:dyDescent="0.2">
      <c r="A66">
        <v>8</v>
      </c>
      <c r="B66" s="150"/>
      <c r="C66" s="156"/>
      <c r="D66" s="156"/>
      <c r="E66" s="156"/>
      <c r="F66" s="149"/>
      <c r="G66" s="149"/>
      <c r="H66" s="149"/>
      <c r="I66" s="147"/>
    </row>
    <row r="67" spans="1:9" x14ac:dyDescent="0.2">
      <c r="A67">
        <v>9</v>
      </c>
      <c r="B67" s="153"/>
      <c r="C67" s="156"/>
      <c r="D67" s="156"/>
      <c r="E67" s="156"/>
      <c r="F67" s="151"/>
      <c r="G67" s="151"/>
      <c r="H67" s="151"/>
      <c r="I67" s="149"/>
    </row>
    <row r="68" spans="1:9" x14ac:dyDescent="0.2">
      <c r="A68">
        <v>10</v>
      </c>
      <c r="B68" s="150"/>
      <c r="C68" s="156"/>
      <c r="D68" s="156"/>
      <c r="E68" s="156"/>
      <c r="F68" s="149"/>
      <c r="G68" s="149"/>
      <c r="H68" s="149"/>
      <c r="I68" s="155"/>
    </row>
    <row r="71" spans="1:9" x14ac:dyDescent="0.2">
      <c r="A71" t="s">
        <v>201</v>
      </c>
      <c r="B71">
        <v>7</v>
      </c>
    </row>
    <row r="72" spans="1:9" x14ac:dyDescent="0.2">
      <c r="A72" s="79" t="s">
        <v>198</v>
      </c>
      <c r="B72" t="s">
        <v>200</v>
      </c>
      <c r="C72" t="s">
        <v>202</v>
      </c>
      <c r="D72" t="s">
        <v>202</v>
      </c>
      <c r="E72" t="s">
        <v>202</v>
      </c>
      <c r="F72" t="s">
        <v>200</v>
      </c>
      <c r="G72" t="s">
        <v>200</v>
      </c>
      <c r="H72" t="s">
        <v>200</v>
      </c>
      <c r="I72" t="s">
        <v>200</v>
      </c>
    </row>
    <row r="73" spans="1:9" x14ac:dyDescent="0.2">
      <c r="A73" s="79" t="s">
        <v>196</v>
      </c>
      <c r="B73">
        <v>9</v>
      </c>
      <c r="C73">
        <v>9</v>
      </c>
      <c r="D73">
        <v>9</v>
      </c>
      <c r="E73">
        <v>9</v>
      </c>
      <c r="F73">
        <v>10</v>
      </c>
      <c r="G73">
        <v>10</v>
      </c>
      <c r="H73">
        <v>10</v>
      </c>
      <c r="I73">
        <v>10</v>
      </c>
    </row>
    <row r="74" spans="1:9" x14ac:dyDescent="0.2">
      <c r="A74" s="79" t="s">
        <v>197</v>
      </c>
      <c r="B74">
        <v>1</v>
      </c>
      <c r="C74">
        <v>1</v>
      </c>
      <c r="D74">
        <v>1</v>
      </c>
      <c r="E74">
        <v>1</v>
      </c>
      <c r="F74">
        <v>0</v>
      </c>
      <c r="G74">
        <v>0</v>
      </c>
      <c r="H74">
        <v>0</v>
      </c>
      <c r="I74">
        <v>0</v>
      </c>
    </row>
    <row r="75" spans="1:9" x14ac:dyDescent="0.2">
      <c r="A75" s="79" t="s">
        <v>199</v>
      </c>
      <c r="B75" s="80">
        <f xml:space="preserve"> B74/SUM(B73,B74)</f>
        <v>0.1</v>
      </c>
      <c r="C75" s="131">
        <f>SUM(C74:E74)/SUM(C73:E74)</f>
        <v>0.1</v>
      </c>
      <c r="D75" s="131"/>
      <c r="E75" s="131"/>
      <c r="F75" s="131">
        <f>SUM(F74:H74)/SUM(F73:H74)</f>
        <v>0</v>
      </c>
      <c r="G75" s="131"/>
      <c r="H75" s="131"/>
      <c r="I75" s="80">
        <f t="shared" ref="I75" si="2" xml:space="preserve"> I74/SUM(I73,I74)</f>
        <v>0</v>
      </c>
    </row>
    <row r="78" spans="1:9" x14ac:dyDescent="0.2">
      <c r="A78" s="74" t="s">
        <v>201</v>
      </c>
      <c r="B78" s="74">
        <v>7</v>
      </c>
      <c r="C78" s="74"/>
      <c r="D78" s="74"/>
      <c r="E78" s="74"/>
      <c r="F78" s="74"/>
      <c r="G78" s="74"/>
      <c r="H78" s="74"/>
      <c r="I78" s="74"/>
    </row>
    <row r="79" spans="1:9" x14ac:dyDescent="0.2">
      <c r="A79" s="83" t="s">
        <v>198</v>
      </c>
      <c r="B79" s="83" t="s">
        <v>200</v>
      </c>
      <c r="C79" s="83" t="s">
        <v>202</v>
      </c>
      <c r="D79" s="83" t="s">
        <v>202</v>
      </c>
      <c r="E79" s="84" t="s">
        <v>202</v>
      </c>
      <c r="F79" s="85" t="s">
        <v>200</v>
      </c>
      <c r="G79" s="85" t="s">
        <v>200</v>
      </c>
      <c r="H79" s="83" t="s">
        <v>200</v>
      </c>
      <c r="I79" s="83" t="s">
        <v>200</v>
      </c>
    </row>
    <row r="80" spans="1:9" x14ac:dyDescent="0.2">
      <c r="A80" s="83" t="s">
        <v>196</v>
      </c>
      <c r="B80" s="83">
        <v>9</v>
      </c>
      <c r="C80" s="83">
        <v>6</v>
      </c>
      <c r="D80" s="83">
        <v>5</v>
      </c>
      <c r="E80" s="83">
        <v>9</v>
      </c>
      <c r="F80" s="83">
        <v>9</v>
      </c>
      <c r="G80" s="83">
        <v>9</v>
      </c>
      <c r="H80" s="83">
        <v>9</v>
      </c>
      <c r="I80" s="83">
        <v>2</v>
      </c>
    </row>
    <row r="81" spans="1:9" x14ac:dyDescent="0.2">
      <c r="A81" s="83" t="s">
        <v>197</v>
      </c>
      <c r="B81" s="83">
        <v>1</v>
      </c>
      <c r="C81" s="83">
        <v>4</v>
      </c>
      <c r="D81" s="83">
        <v>5</v>
      </c>
      <c r="E81" s="83">
        <v>2</v>
      </c>
      <c r="F81" s="83">
        <v>1</v>
      </c>
      <c r="G81" s="83">
        <v>1</v>
      </c>
      <c r="H81" s="83">
        <v>1</v>
      </c>
      <c r="I81" s="83">
        <v>8</v>
      </c>
    </row>
    <row r="82" spans="1:9" x14ac:dyDescent="0.2">
      <c r="A82" s="83" t="s">
        <v>199</v>
      </c>
      <c r="B82" s="86">
        <f xml:space="preserve"> B80/SUM(B80,B81)</f>
        <v>0.9</v>
      </c>
      <c r="C82" s="130">
        <f>SUM(C80:E80)/SUM(C80:E81)</f>
        <v>0.64516129032258063</v>
      </c>
      <c r="D82" s="130"/>
      <c r="E82" s="130"/>
      <c r="F82" s="130">
        <f>SUM(F80:H80)/SUM(F80:H81)</f>
        <v>0.9</v>
      </c>
      <c r="G82" s="130"/>
      <c r="H82" s="130"/>
      <c r="I82" s="86">
        <f xml:space="preserve"> I80/SUM(I80,I81)</f>
        <v>0.2</v>
      </c>
    </row>
  </sheetData>
  <mergeCells count="27">
    <mergeCell ref="A1:A2"/>
    <mergeCell ref="B1:B2"/>
    <mergeCell ref="C1:E1"/>
    <mergeCell ref="F1:H1"/>
    <mergeCell ref="I1:I2"/>
    <mergeCell ref="C19:E19"/>
    <mergeCell ref="F19:H19"/>
    <mergeCell ref="C25:E25"/>
    <mergeCell ref="F25:H25"/>
    <mergeCell ref="A28:A29"/>
    <mergeCell ref="B28:B29"/>
    <mergeCell ref="C28:E28"/>
    <mergeCell ref="F28:H28"/>
    <mergeCell ref="I56:I57"/>
    <mergeCell ref="C75:E75"/>
    <mergeCell ref="F75:H75"/>
    <mergeCell ref="I28:I29"/>
    <mergeCell ref="C46:E46"/>
    <mergeCell ref="F46:H46"/>
    <mergeCell ref="C52:E52"/>
    <mergeCell ref="F52:H52"/>
    <mergeCell ref="C82:E82"/>
    <mergeCell ref="F82:H82"/>
    <mergeCell ref="A56:A57"/>
    <mergeCell ref="B56:B57"/>
    <mergeCell ref="C56:E56"/>
    <mergeCell ref="F56:H5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F46A2-5202-4548-81A4-150EE2EDE6B9}">
  <dimension ref="A1:D13"/>
  <sheetViews>
    <sheetView topLeftCell="A5" zoomScale="280" zoomScaleNormal="280" workbookViewId="0">
      <selection activeCell="E14" sqref="E14"/>
    </sheetView>
  </sheetViews>
  <sheetFormatPr baseColWidth="10" defaultRowHeight="16" x14ac:dyDescent="0.2"/>
  <sheetData>
    <row r="1" spans="1:4" x14ac:dyDescent="0.2">
      <c r="A1" s="82" t="s">
        <v>209</v>
      </c>
      <c r="B1" s="82" t="s">
        <v>199</v>
      </c>
      <c r="C1" s="82" t="s">
        <v>201</v>
      </c>
      <c r="D1" s="82" t="s">
        <v>204</v>
      </c>
    </row>
    <row r="2" spans="1:4" s="87" customFormat="1" x14ac:dyDescent="0.2">
      <c r="A2" s="88" t="s">
        <v>200</v>
      </c>
      <c r="B2" s="89">
        <v>1</v>
      </c>
      <c r="C2" s="88" t="s">
        <v>210</v>
      </c>
      <c r="D2" s="88" t="s">
        <v>205</v>
      </c>
    </row>
    <row r="3" spans="1:4" s="87" customFormat="1" x14ac:dyDescent="0.2">
      <c r="A3" s="88" t="s">
        <v>202</v>
      </c>
      <c r="B3" s="89">
        <v>0.93330000000000002</v>
      </c>
      <c r="C3" s="88" t="s">
        <v>210</v>
      </c>
      <c r="D3" s="88" t="s">
        <v>206</v>
      </c>
    </row>
    <row r="4" spans="1:4" s="87" customFormat="1" x14ac:dyDescent="0.2">
      <c r="A4" s="88" t="s">
        <v>202</v>
      </c>
      <c r="B4" s="89">
        <v>1</v>
      </c>
      <c r="C4" s="88" t="s">
        <v>210</v>
      </c>
      <c r="D4" s="88" t="s">
        <v>207</v>
      </c>
    </row>
    <row r="5" spans="1:4" s="87" customFormat="1" x14ac:dyDescent="0.2">
      <c r="A5" s="88" t="s">
        <v>202</v>
      </c>
      <c r="B5" s="89">
        <v>0.6</v>
      </c>
      <c r="C5" s="88" t="s">
        <v>210</v>
      </c>
      <c r="D5" s="88" t="s">
        <v>208</v>
      </c>
    </row>
    <row r="6" spans="1:4" s="92" customFormat="1" x14ac:dyDescent="0.2">
      <c r="A6" s="90" t="s">
        <v>200</v>
      </c>
      <c r="B6" s="91">
        <v>1</v>
      </c>
      <c r="C6" s="90" t="s">
        <v>211</v>
      </c>
      <c r="D6" s="90" t="s">
        <v>205</v>
      </c>
    </row>
    <row r="7" spans="1:4" s="92" customFormat="1" x14ac:dyDescent="0.2">
      <c r="A7" s="90" t="s">
        <v>200</v>
      </c>
      <c r="B7" s="91">
        <v>1</v>
      </c>
      <c r="C7" s="90" t="s">
        <v>211</v>
      </c>
      <c r="D7" s="90" t="s">
        <v>206</v>
      </c>
    </row>
    <row r="8" spans="1:4" s="92" customFormat="1" x14ac:dyDescent="0.2">
      <c r="A8" s="90" t="s">
        <v>202</v>
      </c>
      <c r="B8" s="91">
        <v>0.86670000000000003</v>
      </c>
      <c r="C8" s="90" t="s">
        <v>211</v>
      </c>
      <c r="D8" s="90" t="s">
        <v>207</v>
      </c>
    </row>
    <row r="9" spans="1:4" s="92" customFormat="1" x14ac:dyDescent="0.2">
      <c r="A9" s="90" t="s">
        <v>200</v>
      </c>
      <c r="B9" s="91">
        <v>0.9</v>
      </c>
      <c r="C9" s="90" t="s">
        <v>211</v>
      </c>
      <c r="D9" s="90" t="s">
        <v>208</v>
      </c>
    </row>
    <row r="10" spans="1:4" x14ac:dyDescent="0.2">
      <c r="A10" s="82" t="s">
        <v>200</v>
      </c>
      <c r="B10" s="81">
        <v>0.9</v>
      </c>
      <c r="C10" s="82" t="s">
        <v>212</v>
      </c>
      <c r="D10" s="82" t="s">
        <v>205</v>
      </c>
    </row>
    <row r="11" spans="1:4" x14ac:dyDescent="0.2">
      <c r="A11" s="82" t="s">
        <v>202</v>
      </c>
      <c r="B11" s="81">
        <v>0.6452</v>
      </c>
      <c r="C11" s="82" t="s">
        <v>212</v>
      </c>
      <c r="D11" s="82" t="s">
        <v>206</v>
      </c>
    </row>
    <row r="12" spans="1:4" x14ac:dyDescent="0.2">
      <c r="A12" s="82" t="s">
        <v>200</v>
      </c>
      <c r="B12" s="81">
        <v>0.9</v>
      </c>
      <c r="C12" s="82" t="s">
        <v>212</v>
      </c>
      <c r="D12" s="82" t="s">
        <v>207</v>
      </c>
    </row>
    <row r="13" spans="1:4" x14ac:dyDescent="0.2">
      <c r="A13" s="82" t="s">
        <v>200</v>
      </c>
      <c r="B13" s="81">
        <v>0.2</v>
      </c>
      <c r="C13" s="82" t="s">
        <v>212</v>
      </c>
      <c r="D13" s="82" t="s">
        <v>208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D6CF6-F2F4-5D42-B597-D46F8529D581}">
  <dimension ref="A1:D13"/>
  <sheetViews>
    <sheetView zoomScale="210" zoomScaleNormal="210" workbookViewId="0">
      <selection activeCell="G20" sqref="G20"/>
    </sheetView>
  </sheetViews>
  <sheetFormatPr baseColWidth="10" defaultRowHeight="16" x14ac:dyDescent="0.2"/>
  <sheetData>
    <row r="1" spans="1:4" x14ac:dyDescent="0.2">
      <c r="A1" s="82" t="s">
        <v>209</v>
      </c>
      <c r="B1" s="82" t="s">
        <v>199</v>
      </c>
      <c r="C1" s="82" t="s">
        <v>201</v>
      </c>
      <c r="D1" s="82" t="s">
        <v>204</v>
      </c>
    </row>
    <row r="2" spans="1:4" x14ac:dyDescent="0.2">
      <c r="A2" s="82" t="s">
        <v>200</v>
      </c>
      <c r="B2" s="81">
        <v>1</v>
      </c>
      <c r="C2" s="82" t="s">
        <v>210</v>
      </c>
      <c r="D2" s="82" t="s">
        <v>205</v>
      </c>
    </row>
    <row r="3" spans="1:4" x14ac:dyDescent="0.2">
      <c r="A3" s="82" t="s">
        <v>200</v>
      </c>
      <c r="B3" s="81">
        <v>0.9667</v>
      </c>
      <c r="C3" s="82" t="s">
        <v>210</v>
      </c>
      <c r="D3" s="82" t="s">
        <v>206</v>
      </c>
    </row>
    <row r="4" spans="1:4" x14ac:dyDescent="0.2">
      <c r="A4" s="82" t="s">
        <v>202</v>
      </c>
      <c r="B4" s="81">
        <v>1</v>
      </c>
      <c r="C4" s="82" t="s">
        <v>210</v>
      </c>
      <c r="D4" s="82" t="s">
        <v>207</v>
      </c>
    </row>
    <row r="5" spans="1:4" x14ac:dyDescent="0.2">
      <c r="A5" s="82" t="s">
        <v>202</v>
      </c>
      <c r="B5" s="81">
        <v>0.9</v>
      </c>
      <c r="C5" s="82" t="s">
        <v>210</v>
      </c>
      <c r="D5" s="82" t="s">
        <v>208</v>
      </c>
    </row>
    <row r="6" spans="1:4" x14ac:dyDescent="0.2">
      <c r="A6" s="82" t="s">
        <v>200</v>
      </c>
      <c r="B6" s="81">
        <v>1</v>
      </c>
      <c r="C6" s="82" t="s">
        <v>211</v>
      </c>
      <c r="D6" s="82" t="s">
        <v>205</v>
      </c>
    </row>
    <row r="7" spans="1:4" x14ac:dyDescent="0.2">
      <c r="A7" s="82" t="s">
        <v>200</v>
      </c>
      <c r="B7" s="81">
        <v>1</v>
      </c>
      <c r="C7" s="82" t="s">
        <v>211</v>
      </c>
      <c r="D7" s="82" t="s">
        <v>206</v>
      </c>
    </row>
    <row r="8" spans="1:4" x14ac:dyDescent="0.2">
      <c r="A8" s="82" t="s">
        <v>200</v>
      </c>
      <c r="B8" s="81">
        <v>0.9</v>
      </c>
      <c r="C8" s="82" t="s">
        <v>211</v>
      </c>
      <c r="D8" s="82" t="s">
        <v>207</v>
      </c>
    </row>
    <row r="9" spans="1:4" x14ac:dyDescent="0.2">
      <c r="A9" s="82" t="s">
        <v>200</v>
      </c>
      <c r="B9" s="81">
        <v>0.9</v>
      </c>
      <c r="C9" s="82" t="s">
        <v>211</v>
      </c>
      <c r="D9" s="82" t="s">
        <v>208</v>
      </c>
    </row>
    <row r="10" spans="1:4" x14ac:dyDescent="0.2">
      <c r="A10" s="82" t="s">
        <v>200</v>
      </c>
      <c r="B10" s="81">
        <v>0.9</v>
      </c>
      <c r="C10" s="82" t="s">
        <v>212</v>
      </c>
      <c r="D10" s="82" t="s">
        <v>205</v>
      </c>
    </row>
    <row r="11" spans="1:4" x14ac:dyDescent="0.2">
      <c r="A11" s="82" t="s">
        <v>202</v>
      </c>
      <c r="B11" s="81">
        <v>0.9</v>
      </c>
      <c r="C11" s="82" t="s">
        <v>212</v>
      </c>
      <c r="D11" s="82" t="s">
        <v>206</v>
      </c>
    </row>
    <row r="12" spans="1:4" x14ac:dyDescent="0.2">
      <c r="A12" s="82" t="s">
        <v>200</v>
      </c>
      <c r="B12" s="81">
        <v>1</v>
      </c>
      <c r="C12" s="82" t="s">
        <v>212</v>
      </c>
      <c r="D12" s="82" t="s">
        <v>207</v>
      </c>
    </row>
    <row r="13" spans="1:4" x14ac:dyDescent="0.2">
      <c r="A13" s="82" t="s">
        <v>200</v>
      </c>
      <c r="B13" s="81">
        <v>1</v>
      </c>
      <c r="C13" s="82" t="s">
        <v>212</v>
      </c>
      <c r="D13" s="82" t="s">
        <v>208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gpt4o</vt:lpstr>
      <vt:lpstr>baseline_v2</vt:lpstr>
      <vt:lpstr>baseline_v1</vt:lpstr>
      <vt:lpstr>repeat_gpt4o</vt:lpstr>
      <vt:lpstr>repeat_4o-mini</vt:lpstr>
      <vt:lpstr>semantic_repeat</vt:lpstr>
      <vt:lpstr>result_repeat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TU-Pseudonym 3122348072668270</dc:creator>
  <cp:lastModifiedBy>TU-Pseudonym 3122348072668270</cp:lastModifiedBy>
  <dcterms:created xsi:type="dcterms:W3CDTF">2024-11-26T10:38:41Z</dcterms:created>
  <dcterms:modified xsi:type="dcterms:W3CDTF">2025-02-03T10:17:12Z</dcterms:modified>
</cp:coreProperties>
</file>