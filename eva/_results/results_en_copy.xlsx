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he/llm4faas/eva/_results/"/>
    </mc:Choice>
  </mc:AlternateContent>
  <xr:revisionPtr revIDLastSave="0" documentId="13_ncr:1_{D99540FA-5B3F-C443-AFED-5B29659029E2}" xr6:coauthVersionLast="47" xr6:coauthVersionMax="47" xr10:uidLastSave="{00000000-0000-0000-0000-000000000000}"/>
  <bookViews>
    <workbookView xWindow="20600" yWindow="0" windowWidth="20360" windowHeight="23040" activeTab="3" xr2:uid="{722548EF-65F8-7844-B682-C9AB7C87B0A2}"/>
  </bookViews>
  <sheets>
    <sheet name="Remote Control" sheetId="6" r:id="rId1"/>
    <sheet name="Fixed Plans" sheetId="3" r:id="rId2"/>
    <sheet name="Auto Adapt" sheetId="4" r:id="rId3"/>
    <sheet name="Energy Savin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5" l="1"/>
  <c r="P37" i="3"/>
  <c r="E38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K38" i="3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35" i="5"/>
  <c r="F38" i="5" s="1"/>
  <c r="E35" i="5"/>
  <c r="E39" i="5" s="1"/>
  <c r="D35" i="5"/>
  <c r="D39" i="5" s="1"/>
  <c r="C35" i="5"/>
  <c r="C38" i="5" s="1"/>
  <c r="B35" i="5"/>
  <c r="B38" i="5" s="1"/>
  <c r="F36" i="6"/>
  <c r="F40" i="6" s="1"/>
  <c r="E36" i="6"/>
  <c r="E39" i="6" s="1"/>
  <c r="D36" i="6"/>
  <c r="D40" i="6" s="1"/>
  <c r="C36" i="6"/>
  <c r="C39" i="6" s="1"/>
  <c r="B36" i="6"/>
  <c r="B39" i="6" s="1"/>
  <c r="N41" i="4" l="1"/>
  <c r="B38" i="3"/>
  <c r="B40" i="6"/>
  <c r="E40" i="6"/>
  <c r="F39" i="6"/>
  <c r="C40" i="6"/>
  <c r="K39" i="3"/>
  <c r="H39" i="3"/>
  <c r="B39" i="3"/>
  <c r="N39" i="3"/>
  <c r="E39" i="3"/>
  <c r="F39" i="5"/>
  <c r="H38" i="3"/>
  <c r="N38" i="3"/>
  <c r="N42" i="4"/>
  <c r="B42" i="4"/>
  <c r="H41" i="4"/>
  <c r="K42" i="4"/>
  <c r="K41" i="4"/>
  <c r="E42" i="4"/>
  <c r="E41" i="4"/>
  <c r="B41" i="4"/>
  <c r="H42" i="4"/>
  <c r="D38" i="5"/>
  <c r="E38" i="5"/>
  <c r="B39" i="5"/>
  <c r="D39" i="6"/>
</calcChain>
</file>

<file path=xl/sharedStrings.xml><?xml version="1.0" encoding="utf-8"?>
<sst xmlns="http://schemas.openxmlformats.org/spreadsheetml/2006/main" count="869" uniqueCount="295">
  <si>
    <t>copilot</t>
  </si>
  <si>
    <t>llama3</t>
  </si>
  <si>
    <t>gemini</t>
  </si>
  <si>
    <t>gpt-4o</t>
  </si>
  <si>
    <t>Index</t>
  </si>
  <si>
    <t>Remote Control</t>
  </si>
  <si>
    <t xml:space="preserve"> Fixed Plans</t>
  </si>
  <si>
    <t>Auto Adapt</t>
  </si>
  <si>
    <t>Energy Saving</t>
  </si>
  <si>
    <t>cannot get sensor readings</t>
  </si>
  <si>
    <t>TypeError</t>
  </si>
  <si>
    <t>Morning</t>
  </si>
  <si>
    <t>Leave Home</t>
  </si>
  <si>
    <t>Movie</t>
  </si>
  <si>
    <t>Humidity</t>
  </si>
  <si>
    <t>Temperature</t>
  </si>
  <si>
    <t>Light Intensity</t>
  </si>
  <si>
    <t>Results</t>
  </si>
  <si>
    <t>PASS</t>
  </si>
  <si>
    <t>NOT PASS</t>
  </si>
  <si>
    <t>INVAILD</t>
  </si>
  <si>
    <t>gpt4o</t>
  </si>
  <si>
    <t>TOTAL_VALID</t>
  </si>
  <si>
    <t>red: not pass/does not understand prompt</t>
  </si>
  <si>
    <t>green: ready-to-use</t>
  </si>
  <si>
    <t>yello: no error returned and fits the prompt</t>
  </si>
  <si>
    <t>COMPILE</t>
  </si>
  <si>
    <t xml:space="preserve"> PASS RATE</t>
  </si>
  <si>
    <t>COMPILABLE RATE</t>
  </si>
  <si>
    <t>gpt-4o-mini</t>
  </si>
  <si>
    <t>NameError</t>
  </si>
  <si>
    <t>does not turn on Notification Sender before usage</t>
  </si>
  <si>
    <t>cannot set light brightness level with light is off</t>
  </si>
  <si>
    <t>cannot set brightness level while light is off</t>
  </si>
  <si>
    <t>✅</t>
  </si>
  <si>
    <t>✅; do not call adjust_temperature function</t>
  </si>
  <si>
    <t>NameError(import);✅</t>
  </si>
  <si>
    <t>NameError(import); does not consider when it is too bright in the room</t>
  </si>
  <si>
    <t>NameError(import); do not set target_temp and call adjust func; only close 1 window when ac is on;</t>
  </si>
  <si>
    <t>NameError; ✅</t>
  </si>
  <si>
    <t>NameError; ✅; does not set brightness level</t>
  </si>
  <si>
    <t>✅; does use the target humidity value from user</t>
  </si>
  <si>
    <t>✅; does use the target light intensity value from user; does not set brightness level.</t>
  </si>
  <si>
    <t>can only set brightness level of the last found light in the specific room.</t>
  </si>
  <si>
    <t>does not set target_temp before call the adjust_func</t>
  </si>
  <si>
    <t>✅; does not set brightness level</t>
  </si>
  <si>
    <t>wrong logic; may use a temp sensor in one room to trigger ac/heater in the other room.</t>
  </si>
  <si>
    <t>may use a humidity sensor in one room to trigger humidifier in the other room.</t>
  </si>
  <si>
    <t>may use a light intensity sensor in one room to trigger lights in the other room; only trigger the first light in a specific room</t>
  </si>
  <si>
    <t>✅; func logic is right but only heater is triggered, not the ac</t>
  </si>
  <si>
    <t>should check humidity, not temperature</t>
  </si>
  <si>
    <t>does not trigger humidifier; does not turn on Notification Sender while sending msg.</t>
  </si>
  <si>
    <t>only trigger the first light in the room when there are multiple</t>
  </si>
  <si>
    <t>NameError; cannot get sensor readings</t>
  </si>
  <si>
    <t>NameError(import); create new devices rather than getting existing ones at home</t>
  </si>
  <si>
    <t>NameError(import);only trigger the first light in the room when there are multiple</t>
  </si>
  <si>
    <t>does not turn on Notification Sender before usage; get wrong threshold for heaters</t>
  </si>
  <si>
    <t>no function generated</t>
  </si>
  <si>
    <t>temp func logic is correct, but it turn off the ac in the end anyway</t>
  </si>
  <si>
    <t>light control func logic is correct, but it turn off the curtain in the end anyway</t>
  </si>
  <si>
    <t>cannot get sensor readings; import error</t>
  </si>
  <si>
    <t>does trigger any smart device at home</t>
  </si>
  <si>
    <t>NameError; sensors might not in the living room</t>
  </si>
  <si>
    <t>turn off lights not switches; found wrong sensors for light intensity</t>
  </si>
  <si>
    <t>cannot get sensor readings;✅</t>
  </si>
  <si>
    <t>NameError(import); cannot get sensor readings</t>
  </si>
  <si>
    <t xml:space="preserve">cannot get sensor readings; if one ac at home is on, all doors and windows at home need to be closed based on the func logic. </t>
  </si>
  <si>
    <t>does closed windows as required</t>
  </si>
  <si>
    <t>outdoor sensors are not in the living room but in the balcony</t>
  </si>
  <si>
    <t>cannot get sensors at home; import errors</t>
  </si>
  <si>
    <t>NameError; wrong func logic</t>
  </si>
  <si>
    <t>cannot set brightness level with light is off; fits the rest requirements</t>
  </si>
  <si>
    <t>outdoor sensors are only in the balcony not the other rooms</t>
  </si>
  <si>
    <t>NameError;UnboundLocalError</t>
  </si>
  <si>
    <t>TypeError, cannot find actuators correctly</t>
  </si>
  <si>
    <t>cannot find coffee machine, it is in the kitchen not in the bedroom</t>
  </si>
  <si>
    <t>only trigger devices in the living room</t>
  </si>
  <si>
    <t>cannot set light brightness level with light is off; wrongly control the curtain, always call 'turn on' with draw/close the curtain.</t>
  </si>
  <si>
    <t>cannot set light brightness level with light is off; when function fails to set brightness level, it still print the same msg as the correct setting.</t>
  </si>
  <si>
    <t xml:space="preserve">only trigger the first found device </t>
  </si>
  <si>
    <t>cannot set light brightness level with light is off; the function triggers all lights and curtains at home, not only the ones in the same room with tv</t>
  </si>
  <si>
    <t>NameError(import); ✅</t>
  </si>
  <si>
    <t>wrongly understand the user's prompt; ✅</t>
  </si>
  <si>
    <t>cannot find coffee machine, it is in the kitchen not in the living room</t>
  </si>
  <si>
    <t>TypeError; cannot correctly find actuators</t>
  </si>
  <si>
    <t>cannot set light brightness level with light is off;</t>
  </si>
  <si>
    <t>cannot set light brightness level with light is off; cannot find coffee machine</t>
  </si>
  <si>
    <t>only trigger the first light in the (living) room</t>
  </si>
  <si>
    <t>NameError(import);TypeError</t>
  </si>
  <si>
    <t>cannot find SmartSocket</t>
  </si>
  <si>
    <t>cannot get sensor readings; TypeError</t>
  </si>
  <si>
    <t>TypeError; cannot get sensor readings</t>
  </si>
  <si>
    <t>NameError(import); cannot set light brightness level with light is off</t>
  </si>
  <si>
    <t>does not fit the prompt</t>
  </si>
  <si>
    <t>the function does not find sensors from the given home plan but initialises them</t>
  </si>
  <si>
    <t>can only find the first light in the living room</t>
  </si>
  <si>
    <t>✅; the func assumes coffee machine is the kettle.</t>
  </si>
  <si>
    <t>NameError(import); ✅ but it is not necessary to have warning logs for the not-window devices.</t>
  </si>
  <si>
    <t>TypeError; cannot get temp sensor readings when adjusting home temp; the func fits the other user requirements</t>
  </si>
  <si>
    <t xml:space="preserve"> does call ac's adjust_temp func</t>
  </si>
  <si>
    <t>does not fits the prompts; only the first found ac will be turned on 10 min before arrival; the func simulate the time difference not really wait for 10 min</t>
  </si>
  <si>
    <t>StopIteration; cannot find coffee machine in the living room; other parts work perfectly</t>
  </si>
  <si>
    <t>only control the first found actuator;</t>
  </si>
  <si>
    <t>the func gives an living room example to turn on/off &amp; disply status of sensor/acturator, but not really fits the requirements</t>
  </si>
  <si>
    <t>cannot set brightness level while light is off; fits the other requirements</t>
  </si>
  <si>
    <t>NameError(import); cannot set brightness level when light is off; and home_plan should be a gloable variable</t>
  </si>
  <si>
    <t>the func does not totally fit the user prompt</t>
  </si>
  <si>
    <t>NameError(import); only trigger the last found acutator in the living room; does not call adjust_temp func</t>
  </si>
  <si>
    <t>no function generated as it cannot find tv and kettle</t>
  </si>
  <si>
    <t>no function generated, need detailed description</t>
  </si>
  <si>
    <t>cannot correctly get sensors and actuators</t>
  </si>
  <si>
    <t>does not call adjust_temp and daily_routine funcs</t>
  </si>
  <si>
    <t>does not call adjust_temp func; other requirements are fit</t>
  </si>
  <si>
    <t>✅; func can be optimized</t>
  </si>
  <si>
    <t>no function generated, prompt is too long and it just explain the project context</t>
  </si>
  <si>
    <t>NameError(import); does not call adjust_temp func</t>
  </si>
  <si>
    <t>cannot set brightness level while light is off; can only control ALL lights at home</t>
  </si>
  <si>
    <t>TypeError; cannot get sensor readings; cannot set brightness level</t>
  </si>
  <si>
    <t>TypeError; cannot get sensor readings;</t>
  </si>
  <si>
    <t>IndentationError; does not provide func logic for humidity control; cannot get sensor readings</t>
  </si>
  <si>
    <t xml:space="preserve">TypeError; cannot get sensor readings;does not provide func logic for humidity control; </t>
  </si>
  <si>
    <t>TypeError; cannot get sensor readings; no function logic for humidity control</t>
  </si>
  <si>
    <t>does not provide control logic</t>
  </si>
  <si>
    <t>TypeError; cannot get sensor readings; does not use humidifier for humidity control, use ac/heater instead</t>
  </si>
  <si>
    <t>TypeError; cannot get sensor readings; does not use humidifier for humidity control; cannot set brightness level</t>
  </si>
  <si>
    <t>TypeError; cannot get sensor readings; does provide humidity control logic</t>
  </si>
  <si>
    <t>no function generated, need more fucntionality details</t>
  </si>
  <si>
    <t>TypeError; cannot get sensor readings; use heater not humidifier to control humidity;</t>
  </si>
  <si>
    <t>IndentationError; no control logic is provided</t>
  </si>
  <si>
    <t>TypeError; cannot get sensor reading</t>
  </si>
  <si>
    <t>TypeError; cannot get sensor readings; does not call the right func to incrase humidity</t>
  </si>
  <si>
    <t>no humidity control logic</t>
  </si>
  <si>
    <t>cannot get sensor readings; does not call the adjust_temp func</t>
  </si>
  <si>
    <t>cannot get sensor readings; does not trigger humidifier for humidity control</t>
  </si>
  <si>
    <t>IndentationError; no humidity control logic</t>
  </si>
  <si>
    <t>IndentationError; does not provide env control logic</t>
  </si>
  <si>
    <t>cannot trigger coffee machine and music player as they are not turned on.</t>
  </si>
  <si>
    <t>cannot find coffee machine as it is in the kitchen not living room</t>
  </si>
  <si>
    <t>NameError; cannot find the socket for fridge</t>
  </si>
  <si>
    <t>the func does not set brightness level but turn off the light</t>
  </si>
  <si>
    <t>IndentationError; no function logic generated</t>
  </si>
  <si>
    <t>doesn't look for a device in the current home, but initialises a new device</t>
  </si>
  <si>
    <t>no fucntion generated</t>
  </si>
  <si>
    <t>the generated func only contains pseudocode</t>
  </si>
  <si>
    <t>cannot make coffee while coffee machine is off; wrong parameter passed</t>
  </si>
  <si>
    <t>cannot play movie on tv when it is off.</t>
  </si>
  <si>
    <t>NameError; cannot fully unstand the prompt</t>
  </si>
  <si>
    <t xml:space="preserve">IndentationError; the generated func only contains pseudocode		</t>
  </si>
  <si>
    <t>NameError(import); ✅; the user should want to control the curtain in the living room but he/she has one wrong character, it can be recognised in chinese but will be wrong when translated to English</t>
  </si>
  <si>
    <t>should control all sockets at home, not only in the living room</t>
  </si>
  <si>
    <t>ModuleNotFoundError; it triggered all devices at home, but user only requires with sockets</t>
  </si>
  <si>
    <t>cannot get sensor readings; only consider one window in the room if there are multiple ones; cannot set brightness level; temperature is not used to trigger music player and tv</t>
  </si>
  <si>
    <t>TypeError; cannot get sensor readings；✅</t>
  </si>
  <si>
    <t>does not call adjust_temp after set the temp; when humifier is on, it will decrease humidity automatically which I do not understand.</t>
  </si>
  <si>
    <t>cannot get sensor readings; outdoor temp sensor is only in the balcony, i.e., checking outdoor temp logic is wrong</t>
  </si>
  <si>
    <t>does not call adjust_temp after set the temp</t>
  </si>
  <si>
    <t>the func does not find the existing temp sensor but create a new sensor.</t>
  </si>
  <si>
    <t>TypeError; cannot get sensor readings; the func does not consider the indoor temp/humi, i.e., it maybe not necessary to turn on ac even outdoor temp/humi is not appropriate</t>
  </si>
  <si>
    <t>cannot get sensor readings; not control logic is generated</t>
  </si>
  <si>
    <t>IndentationError; only provide the pseudocode</t>
  </si>
  <si>
    <t xml:space="preserve">cannot get sensor readings; does not provide humidity control logic </t>
  </si>
  <si>
    <t>cannot get actuators at home correctly</t>
  </si>
  <si>
    <t>TypeError; cannot get sensor readings; Import error; only control one light in a room;</t>
  </si>
  <si>
    <t>TypeError; cannot get sensor readings; every sensor reading will trigger all related actuators at home; called the wrong method for humidity control</t>
  </si>
  <si>
    <t>cannot get sensor readings; there is no outdoor temp sensor in the living room, i.e., cannot get outdoor temperature sensor reading</t>
  </si>
  <si>
    <t>TypeError; cannot get sensor readings; only get one needed actuator when there are multiple in the room; turn on ac and window at the same time;</t>
  </si>
  <si>
    <t>TypeError; cannot get sensor readings; only trigger one window when we have multiple ones; when open the window, the func does not check if the ac is turned off.</t>
  </si>
  <si>
    <t>re-write the project python file</t>
  </si>
  <si>
    <t>re-write the project file</t>
  </si>
  <si>
    <t>rewrite project python file</t>
  </si>
  <si>
    <t>NameError(import); wrong logic</t>
  </si>
  <si>
    <t>cannot get sensor reading</t>
  </si>
  <si>
    <t>SyntaxError</t>
  </si>
  <si>
    <t>need to turn on notification sender before usage</t>
  </si>
  <si>
    <t>AttributeError; cannot find the right actuator</t>
  </si>
  <si>
    <t>cannot get sensor readings and the log file is huge as the func continusly trying to get sensor data</t>
  </si>
  <si>
    <t>cannot get sensor readings; need to turn on some devices before usage</t>
  </si>
  <si>
    <t>TypeError; cannot get sensor readings; need to turn on some device before usage</t>
  </si>
  <si>
    <t>cannot find living room</t>
  </si>
  <si>
    <t>invalid output</t>
  </si>
  <si>
    <t>TypeError; cannot get sensor reading; additionally control music player but does not turn it on before usage</t>
  </si>
  <si>
    <t>AttributeError; cannot find sensor at home</t>
  </si>
  <si>
    <t>TypeError; cannot get sensor reading; redunant code for different room; import errors</t>
  </si>
  <si>
    <t>no control logic provided for light intensity control</t>
  </si>
  <si>
    <t>no control logic provided for humidity control</t>
  </si>
  <si>
    <t>user can input different commend to control home, but the provided auto-adapt functions do not work; cannot get sensor readings</t>
  </si>
  <si>
    <t>TypeError; cannot get sensor reading; cannot correctly use the exist temp-adjust methods</t>
  </si>
  <si>
    <t>TypeError; cannot get sensor reading;</t>
  </si>
  <si>
    <t>✅; a lot unnecessary code, need to find the useful part</t>
  </si>
  <si>
    <t>some room does not has humidifier, like bathroom in the func example</t>
  </si>
  <si>
    <t>cannot get sensor reading; does not call the right method to control temperature</t>
  </si>
  <si>
    <t>does not call the right method to control temperature</t>
  </si>
  <si>
    <t>Gemini Special: pink cell means that there is the ready-to-use code snippet in the generated, but you need to figure which part.</t>
  </si>
  <si>
    <t>cannot get sensor reading; ✅</t>
  </si>
  <si>
    <t>every sensor reading will trigger all related devices at home</t>
  </si>
  <si>
    <t>NameError;every sensor reading will trigger all related devices at home</t>
  </si>
  <si>
    <t>cannot get sensor reading;does not fit user prompt</t>
  </si>
  <si>
    <t>TypeError; cannot get sensor reading;✅</t>
  </si>
  <si>
    <t>TypeError; cannot get sensor reading; does not call the right method to control temperature</t>
  </si>
  <si>
    <t>TypeError; cannot get sensor reading; does not turn on light before setting brightness level</t>
  </si>
  <si>
    <t>cannot get sensor reading; cannot find the right actuators</t>
  </si>
  <si>
    <t>UnboundLocalError; cannot get sensor reading; does not provide env control logic</t>
  </si>
  <si>
    <t>TypeError; cannot get sensor reading; cannot find the actuators</t>
  </si>
  <si>
    <t>AttributeError; cannot find the right sensors/actuator at home; does not provide humidty control logic</t>
  </si>
  <si>
    <t>does not provide humidty/light intensity control logic</t>
  </si>
  <si>
    <t>cannot get sensor reading;✅</t>
  </si>
  <si>
    <t>TypeError; cannot get sensor reading; cannot find the right sensors and actuators</t>
  </si>
  <si>
    <t>cannot set brightness level</t>
  </si>
  <si>
    <t>NameError; no humidifier in the bathroom, i.e., cannot control the humidity</t>
  </si>
  <si>
    <t>cannot get sensor reading; every sensor reading will trigger all related devices at home</t>
  </si>
  <si>
    <t>NameError; cannot get sensor readings;✅</t>
  </si>
  <si>
    <t>NameError(import); cannot get sensor readings; this is function  defines the unnecessary situations through it wrongly understand the user's mean</t>
  </si>
  <si>
    <t>TypeError; cannot get sensor readings;the func assumes only one ac at home; every light intensity sensor reading will trigger all lights at home;</t>
  </si>
  <si>
    <t>TypeError; cannot get sensor readings; cannot find the right sensors and actuators</t>
  </si>
  <si>
    <t>ModuleNotFoundError; cannot get the rights temp sensors</t>
  </si>
  <si>
    <t>TypeError; argument missing; cannot find the right sensors/actuators</t>
  </si>
  <si>
    <t>TypeError; cannot get sensor readings; does not check the outdoor temp</t>
  </si>
  <si>
    <t>invaild function generated</t>
  </si>
  <si>
    <t>NameError; only turn off the ac in the living room</t>
  </si>
  <si>
    <t>NameError; cannot get sensor readings; TypeError</t>
  </si>
  <si>
    <t>it only use the last-found(bathroom) sensor reading, the highest/lowest/mean value would be better</t>
  </si>
  <si>
    <t>cannot get currrent home plan</t>
  </si>
  <si>
    <t>cannot find curtain</t>
  </si>
  <si>
    <t xml:space="preserve">cannot find light </t>
  </si>
  <si>
    <t>wrongly understand the prompt</t>
  </si>
  <si>
    <t>need to turn on music player before usage</t>
  </si>
  <si>
    <t>only control living room</t>
  </si>
  <si>
    <t>TypeError; cannot find the right actuator</t>
  </si>
  <si>
    <t>NameError;TypeError</t>
  </si>
  <si>
    <t>NameError;✅;calls the provided unnecessary functions</t>
  </si>
  <si>
    <t>✅; calls the provided unnecessary functions</t>
  </si>
  <si>
    <t>TypeError; cannot get the right actuators</t>
  </si>
  <si>
    <t>need to turn on some devices before usage</t>
  </si>
  <si>
    <t>need to turn on some devices before usage; cannot set light brightness level</t>
  </si>
  <si>
    <t>NameError; only print some msg, does not trigger any actuators</t>
  </si>
  <si>
    <t>TypeError; cannot get sensor readingsr; only print some msg, does not trigger any actuators</t>
  </si>
  <si>
    <t>cannot get sensor readings; others fit</t>
  </si>
  <si>
    <t>open curtain in the Living room, not bedroom; bedroom also has light intensity sensor and curtain…</t>
  </si>
  <si>
    <t>cannot find coffee machine; provide unneeded env control func</t>
  </si>
  <si>
    <t>the additionally provided function will cause Errors; cannot set brightness level; cannot play channel on tv/music player</t>
  </si>
  <si>
    <t>UnboundLocalError; NameError(import); ✅</t>
  </si>
  <si>
    <t>NameError(import); cannot find actuators</t>
  </si>
  <si>
    <t>✅; a lot unnecessary code, need to find the useful part; TypeError from the unnecessarily provided functions</t>
  </si>
  <si>
    <t>TypeError; cannot find actuators</t>
  </si>
  <si>
    <t>only control one light when there are multiple ones; does not adjust temp in a right way</t>
  </si>
  <si>
    <t>AttributeError; uses the unexist attribute; does not adjust temp in a right way</t>
  </si>
  <si>
    <t>NameError(import); cannot get sensor readings; cannot set light's brightness level; provide unneeded example usages</t>
  </si>
  <si>
    <t>TypeError; cannot find the required room</t>
  </si>
  <si>
    <t>does adjust temp in a right way</t>
  </si>
  <si>
    <t>TypeError(argument); cannot find actuators</t>
  </si>
  <si>
    <t>✅; wrongly understand the prompt because of the translation</t>
  </si>
  <si>
    <t>✅; calls the provided unnecessary functions; wrongly understand the prompt because of the translation</t>
  </si>
  <si>
    <t>TypeError; cannot find room</t>
  </si>
  <si>
    <t>only trigger one light in the living room when there are multiple ones; cannot adjust temp in a right way;</t>
  </si>
  <si>
    <t>does not adjust temp in a right way; the fucntion assum heater is kettle</t>
  </si>
  <si>
    <t>does not adjust temp in a right way</t>
  </si>
  <si>
    <t>only trigger one light in the living room when there are multiple ones</t>
  </si>
  <si>
    <t>NameError;(import);✅</t>
  </si>
  <si>
    <t>✅; turn off the tv after playing a specific channel without pause</t>
  </si>
  <si>
    <t>NameError;(import);✅; not fully understand the prompt because of the translation</t>
  </si>
  <si>
    <t>ModuleNotFoundError; ✅</t>
  </si>
  <si>
    <t>✅; can do the right operation even there is a translation problem</t>
  </si>
  <si>
    <t>ModuleNotFoundError;cannot find sensor;</t>
  </si>
  <si>
    <t>ModuleNotFoundError;cannot set light's brightness level</t>
  </si>
  <si>
    <t>cannot get sensor readings, i.e., cannot trigger lights; ✅</t>
  </si>
  <si>
    <t>cannot get sensor readings, i.e., cannot trigger curtain; ✅</t>
  </si>
  <si>
    <t>cannot find coffee machine, it is in the kitchen not bedroom</t>
  </si>
  <si>
    <t>one light will be triggered based on sensor readings from different rooms</t>
  </si>
  <si>
    <t>should not turn off humidifier before decreasing the humidity</t>
  </si>
  <si>
    <t>every sensor reading will trigger all acs at home</t>
  </si>
  <si>
    <t>every sensor reading will trigger all humidifiers at home</t>
  </si>
  <si>
    <t>every sensor reading will trigger all lights at home</t>
  </si>
  <si>
    <t>every sensor reading will trigger all acs/heaters at home</t>
  </si>
  <si>
    <t>the light intensity is useless here, the function will set light brightness to medium anyway.</t>
  </si>
  <si>
    <t>every sensor reading will trigger all heaters at home</t>
  </si>
  <si>
    <t>every sensor reading will trigger all humidifiers at home; does not call the right method to adjust humidity</t>
  </si>
  <si>
    <t>✅; it will be better to call the predefind methods</t>
  </si>
  <si>
    <t>every sensor reading will trigger all lights at home;cannot set brightness level</t>
  </si>
  <si>
    <t>no humidity control logic generated</t>
  </si>
  <si>
    <t>cannot get sensor readings; does not call the right method to adjust humidity</t>
  </si>
  <si>
    <t>cannot get sensor readings;</t>
  </si>
  <si>
    <t>cannot get sensor readings;every sensor reading will trigger all lights at home</t>
  </si>
  <si>
    <t>the function checks the sensor status and only when sensor is 'on', it will then get the sensor reading;every sensor reading will trigger all acs at home</t>
  </si>
  <si>
    <t>NameError(import)</t>
  </si>
  <si>
    <t>UnboundLocalError</t>
  </si>
  <si>
    <t>does not adjust temp in a proper way</t>
  </si>
  <si>
    <t>ModuleNotFoundError(import); cannot get sensor readings</t>
  </si>
  <si>
    <t>every temp sensor reading will trigger all windows at home</t>
  </si>
  <si>
    <t>should not use outdoor temp to be ac current temp input</t>
  </si>
  <si>
    <t>ModuleNotFoundError(import)</t>
  </si>
  <si>
    <t>the furnction will only operate one light when three are multiple ones</t>
  </si>
  <si>
    <t>only when both notification sender and smoke sensor are in the kitchen, the function will be triggered</t>
  </si>
  <si>
    <t>every sensor readign will trigger all related devices at home;</t>
  </si>
  <si>
    <t>ModuleNotFoundError; only trigger one device when multiple ones exist</t>
  </si>
  <si>
    <t>outdoor sensors do not locate in either bedroom or living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</si>
</sst>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1CB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4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50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8" xfId="1" applyBorder="1"/>
    <xf numFmtId="0" fontId="1" fillId="0" borderId="0" xfId="1" applyAlignment="1">
      <alignment horizontal="left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9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1" fillId="3" borderId="9" xfId="1" applyFill="1" applyBorder="1" applyAlignment="1">
      <alignment horizontal="center"/>
    </xf>
    <xf numFmtId="0" fontId="1" fillId="4" borderId="9" xfId="1" applyFill="1" applyBorder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9" xfId="1" applyBorder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9" xfId="1" applyFont="1" applyBorder="1" applyAlignment="1">
      <alignment horizontal="center"/>
    </xf>
    <xf numFmtId="0" fontId="3" fillId="0" borderId="0" xfId="0" applyFont="1"/>
    <xf numFmtId="0" fontId="1" fillId="9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1" fillId="10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0" fontId="1" fillId="11" borderId="12" xfId="1" applyFill="1" applyBorder="1" applyAlignment="1">
      <alignment horizontal="center" vertical="center"/>
    </xf>
    <xf numFmtId="0" fontId="0" fillId="11" borderId="0" xfId="0" applyFill="1"/>
    <xf numFmtId="0" fontId="1" fillId="11" borderId="15" xfId="1" applyFill="1" applyBorder="1" applyAlignment="1">
      <alignment horizontal="center" vertical="center"/>
    </xf>
    <xf numFmtId="0" fontId="1" fillId="3" borderId="2" xfId="1" applyFill="1" applyBorder="1"/>
    <xf numFmtId="0" fontId="1" fillId="0" borderId="11" xfId="1" applyBorder="1" applyAlignment="1">
      <alignment horizontal="center"/>
    </xf>
    <xf numFmtId="0" fontId="1" fillId="3" borderId="1" xfId="1" applyFill="1" applyBorder="1"/>
    <xf numFmtId="0" fontId="1" fillId="4" borderId="3" xfId="0" applyFont="1" applyFill="1" applyBorder="1"/>
    <xf numFmtId="0" fontId="1" fillId="3" borderId="3" xfId="1" applyFill="1" applyBorder="1"/>
    <xf numFmtId="0" fontId="1" fillId="4" borderId="2" xfId="1" applyFill="1" applyBorder="1"/>
    <xf numFmtId="0" fontId="1" fillId="4" borderId="1" xfId="1" applyFill="1" applyBorder="1"/>
    <xf numFmtId="0" fontId="1" fillId="9" borderId="28" xfId="0" applyFont="1" applyFill="1" applyBorder="1"/>
    <xf numFmtId="0" fontId="1" fillId="2" borderId="13" xfId="1" applyFill="1" applyBorder="1"/>
    <xf numFmtId="0" fontId="1" fillId="2" borderId="12" xfId="1" applyFill="1" applyBorder="1"/>
    <xf numFmtId="0" fontId="1" fillId="4" borderId="13" xfId="1" applyFill="1" applyBorder="1"/>
    <xf numFmtId="0" fontId="1" fillId="3" borderId="13" xfId="1" applyFill="1" applyBorder="1"/>
    <xf numFmtId="0" fontId="1" fillId="10" borderId="13" xfId="0" applyFont="1" applyFill="1" applyBorder="1"/>
    <xf numFmtId="0" fontId="1" fillId="2" borderId="2" xfId="1" applyFill="1" applyBorder="1"/>
    <xf numFmtId="0" fontId="1" fillId="6" borderId="2" xfId="1" applyFill="1" applyBorder="1"/>
    <xf numFmtId="0" fontId="1" fillId="4" borderId="4" xfId="1" applyFill="1" applyBorder="1"/>
    <xf numFmtId="0" fontId="1" fillId="4" borderId="14" xfId="1" applyFill="1" applyBorder="1"/>
    <xf numFmtId="0" fontId="1" fillId="3" borderId="4" xfId="1" applyFill="1" applyBorder="1"/>
    <xf numFmtId="0" fontId="1" fillId="2" borderId="4" xfId="1" applyFill="1" applyBorder="1"/>
    <xf numFmtId="0" fontId="1" fillId="4" borderId="3" xfId="1" applyFill="1" applyBorder="1"/>
    <xf numFmtId="0" fontId="1" fillId="6" borderId="3" xfId="1" applyFill="1" applyBorder="1"/>
    <xf numFmtId="0" fontId="1" fillId="6" borderId="4" xfId="1" applyFill="1" applyBorder="1"/>
    <xf numFmtId="0" fontId="1" fillId="3" borderId="12" xfId="1" applyFill="1" applyBorder="1"/>
    <xf numFmtId="0" fontId="1" fillId="3" borderId="14" xfId="1" applyFill="1" applyBorder="1"/>
    <xf numFmtId="0" fontId="1" fillId="2" borderId="3" xfId="1" applyFill="1" applyBorder="1"/>
    <xf numFmtId="0" fontId="1" fillId="4" borderId="15" xfId="1" applyFill="1" applyBorder="1"/>
    <xf numFmtId="0" fontId="1" fillId="4" borderId="16" xfId="1" applyFill="1" applyBorder="1"/>
    <xf numFmtId="0" fontId="1" fillId="4" borderId="17" xfId="1" applyFill="1" applyBorder="1"/>
    <xf numFmtId="0" fontId="1" fillId="4" borderId="12" xfId="1" applyFill="1" applyBorder="1"/>
    <xf numFmtId="0" fontId="1" fillId="8" borderId="2" xfId="0" applyFont="1" applyFill="1" applyBorder="1"/>
    <xf numFmtId="0" fontId="1" fillId="4" borderId="29" xfId="1" applyFill="1" applyBorder="1"/>
    <xf numFmtId="0" fontId="1" fillId="9" borderId="31" xfId="0" applyFont="1" applyFill="1" applyBorder="1"/>
    <xf numFmtId="0" fontId="1" fillId="4" borderId="43" xfId="1" applyFill="1" applyBorder="1"/>
    <xf numFmtId="0" fontId="1" fillId="4" borderId="41" xfId="1" applyFill="1" applyBorder="1"/>
    <xf numFmtId="0" fontId="1" fillId="4" borderId="44" xfId="1" applyFill="1" applyBorder="1"/>
    <xf numFmtId="0" fontId="1" fillId="3" borderId="43" xfId="1" applyFill="1" applyBorder="1"/>
    <xf numFmtId="0" fontId="1" fillId="8" borderId="3" xfId="0" applyFont="1" applyFill="1" applyBorder="1"/>
    <xf numFmtId="0" fontId="1" fillId="12" borderId="13" xfId="1" applyFill="1" applyBorder="1" applyAlignment="1">
      <alignment horizontal="left"/>
    </xf>
    <xf numFmtId="0" fontId="1" fillId="12" borderId="0" xfId="1" applyFill="1"/>
    <xf numFmtId="0" fontId="1" fillId="3" borderId="31" xfId="1" applyFill="1" applyBorder="1"/>
    <xf numFmtId="0" fontId="1" fillId="3" borderId="2" xfId="0" applyFont="1" applyFill="1" applyBorder="1"/>
    <xf numFmtId="0" fontId="1" fillId="9" borderId="3" xfId="0" applyFont="1" applyFill="1" applyBorder="1"/>
    <xf numFmtId="0" fontId="1" fillId="13" borderId="13" xfId="0" applyFont="1" applyFill="1" applyBorder="1" applyAlignment="1">
      <alignment horizontal="left"/>
    </xf>
    <xf numFmtId="0" fontId="1" fillId="3" borderId="13" xfId="0" applyFont="1" applyFill="1" applyBorder="1"/>
    <xf numFmtId="0" fontId="1" fillId="3" borderId="14" xfId="0" applyFont="1" applyFill="1" applyBorder="1"/>
    <xf numFmtId="0" fontId="1" fillId="2" borderId="2" xfId="0" applyFont="1" applyFill="1" applyBorder="1"/>
    <xf numFmtId="0" fontId="1" fillId="4" borderId="2" xfId="0" applyFont="1" applyFill="1" applyBorder="1"/>
    <xf numFmtId="0" fontId="1" fillId="2" borderId="4" xfId="0" applyFont="1" applyFill="1" applyBorder="1"/>
    <xf numFmtId="0" fontId="1" fillId="4" borderId="4" xfId="0" applyFont="1" applyFill="1" applyBorder="1"/>
    <xf numFmtId="0" fontId="1" fillId="6" borderId="3" xfId="0" applyFont="1" applyFill="1" applyBorder="1"/>
    <xf numFmtId="0" fontId="1" fillId="6" borderId="2" xfId="0" applyFont="1" applyFill="1" applyBorder="1"/>
    <xf numFmtId="0" fontId="1" fillId="6" borderId="4" xfId="0" applyFont="1" applyFill="1" applyBorder="1"/>
    <xf numFmtId="0" fontId="1" fillId="13" borderId="2" xfId="0" applyFont="1" applyFill="1" applyBorder="1" applyAlignment="1">
      <alignment horizontal="left"/>
    </xf>
    <xf numFmtId="0" fontId="1" fillId="3" borderId="4" xfId="0" applyFont="1" applyFill="1" applyBorder="1"/>
    <xf numFmtId="0" fontId="0" fillId="2" borderId="2" xfId="0" applyFill="1" applyBorder="1"/>
    <xf numFmtId="0" fontId="0" fillId="3" borderId="2" xfId="0" applyFill="1" applyBorder="1"/>
    <xf numFmtId="0" fontId="1" fillId="4" borderId="16" xfId="0" applyFont="1" applyFill="1" applyBorder="1"/>
    <xf numFmtId="0" fontId="1" fillId="3" borderId="17" xfId="0" applyFont="1" applyFill="1" applyBorder="1"/>
    <xf numFmtId="0" fontId="1" fillId="3" borderId="3" xfId="0" applyFont="1" applyFill="1" applyBorder="1"/>
    <xf numFmtId="0" fontId="1" fillId="3" borderId="16" xfId="1" applyFill="1" applyBorder="1"/>
    <xf numFmtId="0" fontId="1" fillId="3" borderId="15" xfId="1" applyFill="1" applyBorder="1"/>
    <xf numFmtId="164" fontId="0" fillId="11" borderId="13" xfId="0" applyNumberFormat="1" applyFill="1" applyBorder="1"/>
    <xf numFmtId="0" fontId="0" fillId="11" borderId="13" xfId="0" applyFill="1" applyBorder="1"/>
    <xf numFmtId="164" fontId="0" fillId="11" borderId="16" xfId="0" applyNumberFormat="1" applyFill="1" applyBorder="1"/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0" borderId="9" xfId="1" applyBorder="1" applyAlignment="1">
      <alignment horizontal="center"/>
    </xf>
    <xf numFmtId="164" fontId="1" fillId="11" borderId="13" xfId="1" applyNumberFormat="1" applyFill="1" applyBorder="1" applyAlignment="1">
      <alignment horizontal="center" vertical="center"/>
    </xf>
    <xf numFmtId="164" fontId="1" fillId="11" borderId="16" xfId="1" applyNumberFormat="1" applyFill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5" borderId="9" xfId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4" borderId="12" xfId="1" applyFill="1" applyBorder="1" applyAlignment="1">
      <alignment horizontal="center"/>
    </xf>
    <xf numFmtId="0" fontId="1" fillId="4" borderId="13" xfId="1" applyFill="1" applyBorder="1" applyAlignment="1">
      <alignment horizontal="center"/>
    </xf>
    <xf numFmtId="0" fontId="1" fillId="4" borderId="14" xfId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0" fontId="1" fillId="4" borderId="2" xfId="1" applyFill="1" applyBorder="1" applyAlignment="1">
      <alignment horizontal="center"/>
    </xf>
    <xf numFmtId="0" fontId="1" fillId="4" borderId="4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1" fillId="3" borderId="3" xfId="1" applyFill="1" applyBorder="1" applyAlignment="1">
      <alignment horizontal="left"/>
    </xf>
    <xf numFmtId="0" fontId="1" fillId="3" borderId="2" xfId="1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1" fillId="6" borderId="3" xfId="1" applyFill="1" applyBorder="1" applyAlignment="1">
      <alignment horizontal="center"/>
    </xf>
    <xf numFmtId="0" fontId="1" fillId="6" borderId="2" xfId="1" applyFill="1" applyBorder="1" applyAlignment="1">
      <alignment horizontal="center"/>
    </xf>
    <xf numFmtId="0" fontId="1" fillId="6" borderId="4" xfId="1" applyFill="1" applyBorder="1" applyAlignment="1">
      <alignment horizontal="center"/>
    </xf>
    <xf numFmtId="0" fontId="1" fillId="4" borderId="3" xfId="1" applyFill="1" applyBorder="1" applyAlignment="1">
      <alignment horizontal="left"/>
    </xf>
    <xf numFmtId="0" fontId="1" fillId="4" borderId="2" xfId="1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1" fillId="4" borderId="15" xfId="1" applyFill="1" applyBorder="1" applyAlignment="1">
      <alignment horizontal="center"/>
    </xf>
    <xf numFmtId="0" fontId="1" fillId="4" borderId="16" xfId="1" applyFill="1" applyBorder="1" applyAlignment="1">
      <alignment horizontal="center"/>
    </xf>
    <xf numFmtId="0" fontId="1" fillId="4" borderId="17" xfId="1" applyFill="1" applyBorder="1" applyAlignment="1">
      <alignment horizontal="center"/>
    </xf>
    <xf numFmtId="0" fontId="1" fillId="9" borderId="12" xfId="0" applyFont="1" applyFill="1" applyBorder="1" applyAlignment="1">
      <alignment horizontal="left"/>
    </xf>
    <xf numFmtId="0" fontId="1" fillId="9" borderId="13" xfId="0" applyFont="1" applyFill="1" applyBorder="1" applyAlignment="1">
      <alignment horizontal="left"/>
    </xf>
    <xf numFmtId="0" fontId="1" fillId="9" borderId="14" xfId="0" applyFont="1" applyFill="1" applyBorder="1" applyAlignment="1">
      <alignment horizontal="left"/>
    </xf>
    <xf numFmtId="0" fontId="1" fillId="6" borderId="31" xfId="1" applyFill="1" applyBorder="1" applyAlignment="1">
      <alignment horizontal="center"/>
    </xf>
    <xf numFmtId="0" fontId="1" fillId="6" borderId="29" xfId="1" applyFill="1" applyBorder="1" applyAlignment="1">
      <alignment horizontal="center"/>
    </xf>
    <xf numFmtId="0" fontId="1" fillId="6" borderId="32" xfId="1" applyFill="1" applyBorder="1" applyAlignment="1">
      <alignment horizontal="center"/>
    </xf>
    <xf numFmtId="0" fontId="1" fillId="9" borderId="31" xfId="0" applyFont="1" applyFill="1" applyBorder="1" applyAlignment="1">
      <alignment horizontal="center"/>
    </xf>
    <xf numFmtId="0" fontId="1" fillId="9" borderId="29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center"/>
    </xf>
    <xf numFmtId="0" fontId="1" fillId="3" borderId="31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6" borderId="36" xfId="1" applyFill="1" applyBorder="1" applyAlignment="1">
      <alignment horizontal="center"/>
    </xf>
    <xf numFmtId="0" fontId="1" fillId="6" borderId="30" xfId="1" applyFill="1" applyBorder="1" applyAlignment="1">
      <alignment horizontal="center"/>
    </xf>
    <xf numFmtId="0" fontId="1" fillId="6" borderId="37" xfId="1" applyFill="1" applyBorder="1" applyAlignment="1">
      <alignment horizontal="center"/>
    </xf>
    <xf numFmtId="0" fontId="1" fillId="3" borderId="46" xfId="1" applyFill="1" applyBorder="1" applyAlignment="1">
      <alignment horizontal="left"/>
    </xf>
    <xf numFmtId="0" fontId="1" fillId="3" borderId="40" xfId="1" applyFill="1" applyBorder="1" applyAlignment="1">
      <alignment horizontal="left"/>
    </xf>
    <xf numFmtId="0" fontId="1" fillId="3" borderId="45" xfId="1" applyFill="1" applyBorder="1" applyAlignment="1">
      <alignment horizontal="left"/>
    </xf>
    <xf numFmtId="0" fontId="1" fillId="4" borderId="31" xfId="1" applyFill="1" applyBorder="1" applyAlignment="1">
      <alignment horizontal="left"/>
    </xf>
    <xf numFmtId="0" fontId="1" fillId="4" borderId="29" xfId="1" applyFill="1" applyBorder="1" applyAlignment="1">
      <alignment horizontal="left"/>
    </xf>
    <xf numFmtId="0" fontId="1" fillId="4" borderId="32" xfId="1" applyFill="1" applyBorder="1" applyAlignment="1">
      <alignment horizontal="left"/>
    </xf>
    <xf numFmtId="0" fontId="1" fillId="6" borderId="31" xfId="1" applyFill="1" applyBorder="1" applyAlignment="1">
      <alignment horizontal="left"/>
    </xf>
    <xf numFmtId="0" fontId="1" fillId="6" borderId="29" xfId="1" applyFill="1" applyBorder="1" applyAlignment="1">
      <alignment horizontal="left"/>
    </xf>
    <xf numFmtId="0" fontId="1" fillId="6" borderId="32" xfId="1" applyFill="1" applyBorder="1" applyAlignment="1">
      <alignment horizontal="left"/>
    </xf>
    <xf numFmtId="0" fontId="1" fillId="9" borderId="31" xfId="0" applyFont="1" applyFill="1" applyBorder="1" applyAlignment="1">
      <alignment horizontal="left"/>
    </xf>
    <xf numFmtId="0" fontId="1" fillId="9" borderId="29" xfId="0" applyFont="1" applyFill="1" applyBorder="1" applyAlignment="1">
      <alignment horizontal="left"/>
    </xf>
    <xf numFmtId="0" fontId="1" fillId="9" borderId="32" xfId="0" applyFont="1" applyFill="1" applyBorder="1" applyAlignment="1">
      <alignment horizontal="left"/>
    </xf>
    <xf numFmtId="0" fontId="1" fillId="3" borderId="46" xfId="1" applyFill="1" applyBorder="1" applyAlignment="1">
      <alignment horizontal="center"/>
    </xf>
    <xf numFmtId="0" fontId="1" fillId="3" borderId="40" xfId="1" applyFill="1" applyBorder="1" applyAlignment="1">
      <alignment horizontal="center"/>
    </xf>
    <xf numFmtId="0" fontId="1" fillId="3" borderId="28" xfId="1" applyFill="1" applyBorder="1" applyAlignment="1">
      <alignment horizontal="center"/>
    </xf>
    <xf numFmtId="0" fontId="1" fillId="3" borderId="33" xfId="1" applyFill="1" applyBorder="1" applyAlignment="1">
      <alignment horizontal="center"/>
    </xf>
    <xf numFmtId="0" fontId="1" fillId="3" borderId="34" xfId="1" applyFill="1" applyBorder="1" applyAlignment="1">
      <alignment horizontal="center"/>
    </xf>
    <xf numFmtId="0" fontId="1" fillId="3" borderId="35" xfId="1" applyFill="1" applyBorder="1" applyAlignment="1">
      <alignment horizontal="center"/>
    </xf>
    <xf numFmtId="0" fontId="1" fillId="3" borderId="29" xfId="1" applyFill="1" applyBorder="1" applyAlignment="1">
      <alignment horizontal="center"/>
    </xf>
    <xf numFmtId="0" fontId="1" fillId="3" borderId="32" xfId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164" fontId="1" fillId="11" borderId="17" xfId="1" applyNumberFormat="1" applyFill="1" applyBorder="1" applyAlignment="1">
      <alignment horizontal="center" vertical="center"/>
    </xf>
    <xf numFmtId="164" fontId="1" fillId="11" borderId="14" xfId="1" applyNumberFormat="1" applyFill="1" applyBorder="1" applyAlignment="1">
      <alignment horizontal="center" vertical="center"/>
    </xf>
    <xf numFmtId="0" fontId="1" fillId="5" borderId="7" xfId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4" borderId="10" xfId="1" applyFill="1" applyBorder="1" applyAlignment="1">
      <alignment horizontal="left"/>
    </xf>
    <xf numFmtId="0" fontId="1" fillId="4" borderId="18" xfId="1" applyFill="1" applyBorder="1" applyAlignment="1">
      <alignment horizontal="left"/>
    </xf>
    <xf numFmtId="0" fontId="1" fillId="4" borderId="42" xfId="1" applyFill="1" applyBorder="1" applyAlignment="1">
      <alignment horizontal="left"/>
    </xf>
    <xf numFmtId="0" fontId="1" fillId="4" borderId="10" xfId="1" applyFill="1" applyBorder="1"/>
    <xf numFmtId="0" fontId="1" fillId="4" borderId="18" xfId="1" applyFill="1" applyBorder="1"/>
    <xf numFmtId="0" fontId="1" fillId="4" borderId="42" xfId="1" applyFill="1" applyBorder="1"/>
    <xf numFmtId="0" fontId="1" fillId="4" borderId="36" xfId="1" applyFill="1" applyBorder="1"/>
    <xf numFmtId="0" fontId="1" fillId="4" borderId="30" xfId="1" applyFill="1" applyBorder="1"/>
    <xf numFmtId="0" fontId="1" fillId="4" borderId="37" xfId="1" applyFill="1" applyBorder="1"/>
    <xf numFmtId="0" fontId="1" fillId="4" borderId="43" xfId="1" applyFill="1" applyBorder="1" applyAlignment="1">
      <alignment horizontal="center"/>
    </xf>
    <xf numFmtId="0" fontId="1" fillId="4" borderId="41" xfId="1" applyFill="1" applyBorder="1" applyAlignment="1">
      <alignment horizontal="center"/>
    </xf>
    <xf numFmtId="0" fontId="1" fillId="4" borderId="44" xfId="1" applyFill="1" applyBorder="1" applyAlignment="1">
      <alignment horizontal="center"/>
    </xf>
    <xf numFmtId="0" fontId="1" fillId="4" borderId="31" xfId="1" applyFill="1" applyBorder="1" applyAlignment="1">
      <alignment horizontal="center"/>
    </xf>
    <xf numFmtId="0" fontId="1" fillId="4" borderId="29" xfId="1" applyFill="1" applyBorder="1" applyAlignment="1">
      <alignment horizontal="center"/>
    </xf>
    <xf numFmtId="0" fontId="1" fillId="4" borderId="32" xfId="1" applyFill="1" applyBorder="1" applyAlignment="1">
      <alignment horizontal="center"/>
    </xf>
    <xf numFmtId="0" fontId="1" fillId="4" borderId="36" xfId="1" applyFill="1" applyBorder="1" applyAlignment="1">
      <alignment horizontal="center"/>
    </xf>
    <xf numFmtId="0" fontId="1" fillId="4" borderId="30" xfId="1" applyFill="1" applyBorder="1" applyAlignment="1">
      <alignment horizontal="center"/>
    </xf>
    <xf numFmtId="0" fontId="1" fillId="4" borderId="37" xfId="1" applyFill="1" applyBorder="1" applyAlignment="1">
      <alignment horizontal="center"/>
    </xf>
    <xf numFmtId="0" fontId="1" fillId="4" borderId="38" xfId="1" applyFill="1" applyBorder="1" applyAlignment="1">
      <alignment horizontal="center"/>
    </xf>
    <xf numFmtId="0" fontId="1" fillId="4" borderId="45" xfId="1" applyFill="1" applyBorder="1" applyAlignment="1">
      <alignment horizontal="center"/>
    </xf>
    <xf numFmtId="0" fontId="1" fillId="9" borderId="46" xfId="0" applyFont="1" applyFill="1" applyBorder="1" applyAlignment="1">
      <alignment horizontal="left"/>
    </xf>
    <xf numFmtId="0" fontId="1" fillId="9" borderId="40" xfId="0" applyFont="1" applyFill="1" applyBorder="1" applyAlignment="1">
      <alignment horizontal="left"/>
    </xf>
    <xf numFmtId="0" fontId="1" fillId="9" borderId="45" xfId="0" applyFont="1" applyFill="1" applyBorder="1" applyAlignment="1">
      <alignment horizontal="left"/>
    </xf>
    <xf numFmtId="0" fontId="1" fillId="4" borderId="46" xfId="1" applyFill="1" applyBorder="1" applyAlignment="1">
      <alignment horizontal="left"/>
    </xf>
    <xf numFmtId="0" fontId="1" fillId="4" borderId="40" xfId="1" applyFill="1" applyBorder="1" applyAlignment="1">
      <alignment horizontal="left"/>
    </xf>
    <xf numFmtId="0" fontId="1" fillId="4" borderId="45" xfId="1" applyFill="1" applyBorder="1" applyAlignment="1">
      <alignment horizontal="left"/>
    </xf>
    <xf numFmtId="0" fontId="1" fillId="4" borderId="43" xfId="1" applyFill="1" applyBorder="1" applyAlignment="1">
      <alignment horizontal="left"/>
    </xf>
    <xf numFmtId="0" fontId="1" fillId="4" borderId="41" xfId="1" applyFill="1" applyBorder="1" applyAlignment="1">
      <alignment horizontal="left"/>
    </xf>
    <xf numFmtId="0" fontId="1" fillId="4" borderId="44" xfId="1" applyFill="1" applyBorder="1" applyAlignment="1">
      <alignment horizontal="left"/>
    </xf>
    <xf numFmtId="0" fontId="1" fillId="4" borderId="33" xfId="1" applyFill="1" applyBorder="1" applyAlignment="1">
      <alignment horizontal="left"/>
    </xf>
    <xf numFmtId="0" fontId="1" fillId="4" borderId="34" xfId="1" applyFill="1" applyBorder="1" applyAlignment="1">
      <alignment horizontal="left"/>
    </xf>
    <xf numFmtId="0" fontId="1" fillId="4" borderId="35" xfId="1" applyFill="1" applyBorder="1" applyAlignment="1">
      <alignment horizontal="left"/>
    </xf>
    <xf numFmtId="0" fontId="1" fillId="4" borderId="33" xfId="1" applyFill="1" applyBorder="1" applyAlignment="1">
      <alignment horizontal="center"/>
    </xf>
    <xf numFmtId="0" fontId="1" fillId="4" borderId="34" xfId="1" applyFill="1" applyBorder="1" applyAlignment="1">
      <alignment horizontal="center"/>
    </xf>
    <xf numFmtId="0" fontId="1" fillId="4" borderId="35" xfId="1" applyFill="1" applyBorder="1" applyAlignment="1">
      <alignment horizontal="center"/>
    </xf>
    <xf numFmtId="0" fontId="1" fillId="4" borderId="39" xfId="1" applyFill="1" applyBorder="1" applyAlignment="1">
      <alignment horizontal="left"/>
    </xf>
    <xf numFmtId="0" fontId="1" fillId="3" borderId="43" xfId="1" applyFill="1" applyBorder="1" applyAlignment="1">
      <alignment horizontal="center"/>
    </xf>
    <xf numFmtId="0" fontId="1" fillId="3" borderId="41" xfId="1" applyFill="1" applyBorder="1" applyAlignment="1">
      <alignment horizontal="center"/>
    </xf>
    <xf numFmtId="0" fontId="1" fillId="3" borderId="44" xfId="1" applyFill="1" applyBorder="1" applyAlignment="1">
      <alignment horizontal="center"/>
    </xf>
    <xf numFmtId="0" fontId="1" fillId="3" borderId="31" xfId="1" applyFill="1" applyBorder="1" applyAlignment="1">
      <alignment horizontal="left"/>
    </xf>
    <xf numFmtId="0" fontId="1" fillId="3" borderId="29" xfId="1" applyFill="1" applyBorder="1" applyAlignment="1">
      <alignment horizontal="left"/>
    </xf>
    <xf numFmtId="0" fontId="1" fillId="3" borderId="32" xfId="1" applyFill="1" applyBorder="1" applyAlignment="1">
      <alignment horizontal="left"/>
    </xf>
    <xf numFmtId="0" fontId="1" fillId="0" borderId="9" xfId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1" fillId="14" borderId="3" xfId="1" applyFill="1" applyBorder="1"/>
    <xf numFmtId="0" fontId="1" fillId="14" borderId="3" xfId="1" applyFill="1" applyBorder="1" applyAlignment="1">
      <alignment horizontal="center"/>
    </xf>
    <xf numFmtId="0" fontId="1" fillId="14" borderId="2" xfId="1" applyFill="1" applyBorder="1" applyAlignment="1">
      <alignment horizontal="center"/>
    </xf>
    <xf numFmtId="0" fontId="1" fillId="14" borderId="4" xfId="1" applyFill="1" applyBorder="1" applyAlignment="1">
      <alignment horizontal="center"/>
    </xf>
    <xf numFmtId="0" fontId="1" fillId="14" borderId="31" xfId="1" applyFill="1" applyBorder="1" applyAlignment="1">
      <alignment horizontal="left"/>
    </xf>
    <xf numFmtId="0" fontId="1" fillId="14" borderId="29" xfId="1" applyFill="1" applyBorder="1" applyAlignment="1">
      <alignment horizontal="left"/>
    </xf>
    <xf numFmtId="0" fontId="1" fillId="14" borderId="32" xfId="1" applyFill="1" applyBorder="1" applyAlignment="1">
      <alignment horizontal="left"/>
    </xf>
    <xf numFmtId="0" fontId="1" fillId="15" borderId="12" xfId="0" applyFont="1" applyFill="1" applyBorder="1" applyAlignment="1">
      <alignment horizontal="left"/>
    </xf>
    <xf numFmtId="0" fontId="1" fillId="15" borderId="13" xfId="0" applyFont="1" applyFill="1" applyBorder="1" applyAlignment="1">
      <alignment horizontal="left"/>
    </xf>
    <xf numFmtId="0" fontId="1" fillId="15" borderId="14" xfId="0" applyFont="1" applyFill="1" applyBorder="1" applyAlignment="1">
      <alignment horizontal="left"/>
    </xf>
  </cellXfs>
  <cellStyles count="2">
    <cellStyle name="Normal" xfId="0" builtinId="0"/>
    <cellStyle name="Normal 2" xfId="1" xr:uid="{E4988E07-D0C6-9C46-B525-87869DA09A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71CF-6E95-474B-850E-6C01114E9F7B}">
  <dimension ref="A1:F45"/>
  <sheetViews>
    <sheetView topLeftCell="A5" zoomScale="143" zoomScaleNormal="180" workbookViewId="0">
      <selection activeCell="C39" sqref="C39"/>
    </sheetView>
  </sheetViews>
  <sheetFormatPr baseColWidth="10" defaultRowHeight="16" x14ac:dyDescent="0.2"/>
  <cols>
    <col min="1" max="1" width="12.83203125" customWidth="1"/>
    <col min="2" max="6" width="15.83203125" customWidth="1"/>
  </cols>
  <sheetData>
    <row r="1" spans="1:6" x14ac:dyDescent="0.2">
      <c r="A1" s="112" t="s">
        <v>4</v>
      </c>
      <c r="B1" s="114" t="s">
        <v>5</v>
      </c>
      <c r="C1" s="115"/>
      <c r="D1" s="115"/>
      <c r="E1" s="115"/>
      <c r="F1" s="116"/>
    </row>
    <row r="2" spans="1:6" x14ac:dyDescent="0.2">
      <c r="A2" s="113"/>
      <c r="B2" s="38" t="s">
        <v>3</v>
      </c>
      <c r="C2" s="38" t="s">
        <v>29</v>
      </c>
      <c r="D2" s="38" t="s">
        <v>2</v>
      </c>
      <c r="E2" s="38" t="s">
        <v>1</v>
      </c>
      <c r="F2" s="38" t="s">
        <v>0</v>
      </c>
    </row>
    <row r="3" spans="1:6" x14ac:dyDescent="0.2">
      <c r="A3" s="18">
        <v>1</v>
      </c>
      <c r="B3" s="93" t="s">
        <v>34</v>
      </c>
      <c r="C3" s="91" t="s">
        <v>93</v>
      </c>
      <c r="D3" s="91" t="s">
        <v>239</v>
      </c>
      <c r="E3" s="58" t="s">
        <v>169</v>
      </c>
      <c r="F3" s="92" t="s">
        <v>106</v>
      </c>
    </row>
    <row r="4" spans="1:6" x14ac:dyDescent="0.2">
      <c r="A4" s="18">
        <v>2</v>
      </c>
      <c r="B4" s="93" t="s">
        <v>34</v>
      </c>
      <c r="C4" s="93" t="s">
        <v>34</v>
      </c>
      <c r="D4" s="94" t="s">
        <v>240</v>
      </c>
      <c r="E4" s="53" t="s">
        <v>57</v>
      </c>
      <c r="F4" s="95" t="s">
        <v>34</v>
      </c>
    </row>
    <row r="5" spans="1:6" x14ac:dyDescent="0.2">
      <c r="A5" s="18">
        <v>3</v>
      </c>
      <c r="B5" s="93" t="s">
        <v>34</v>
      </c>
      <c r="C5" s="93" t="s">
        <v>34</v>
      </c>
      <c r="D5" s="94" t="s">
        <v>241</v>
      </c>
      <c r="E5" s="53" t="s">
        <v>57</v>
      </c>
      <c r="F5" s="96" t="s">
        <v>36</v>
      </c>
    </row>
    <row r="6" spans="1:6" x14ac:dyDescent="0.2">
      <c r="A6" s="18">
        <v>4</v>
      </c>
      <c r="B6" s="93" t="s">
        <v>34</v>
      </c>
      <c r="C6" s="93" t="s">
        <v>34</v>
      </c>
      <c r="D6" s="94" t="s">
        <v>241</v>
      </c>
      <c r="E6" s="53" t="s">
        <v>57</v>
      </c>
      <c r="F6" s="95" t="s">
        <v>34</v>
      </c>
    </row>
    <row r="7" spans="1:6" x14ac:dyDescent="0.2">
      <c r="A7" s="18">
        <v>5</v>
      </c>
      <c r="B7" s="97" t="s">
        <v>34</v>
      </c>
      <c r="C7" s="98" t="s">
        <v>34</v>
      </c>
      <c r="D7" s="98" t="s">
        <v>177</v>
      </c>
      <c r="E7" s="98" t="s">
        <v>57</v>
      </c>
      <c r="F7" s="99" t="s">
        <v>57</v>
      </c>
    </row>
    <row r="8" spans="1:6" x14ac:dyDescent="0.2">
      <c r="A8" s="18">
        <v>6</v>
      </c>
      <c r="B8" s="93" t="s">
        <v>34</v>
      </c>
      <c r="C8" s="88" t="s">
        <v>94</v>
      </c>
      <c r="D8" s="100" t="s">
        <v>242</v>
      </c>
      <c r="E8" s="53" t="s">
        <v>57</v>
      </c>
      <c r="F8" s="95" t="s">
        <v>34</v>
      </c>
    </row>
    <row r="9" spans="1:6" x14ac:dyDescent="0.2">
      <c r="A9" s="18">
        <v>7</v>
      </c>
      <c r="B9" s="93" t="s">
        <v>34</v>
      </c>
      <c r="C9" s="93" t="s">
        <v>34</v>
      </c>
      <c r="D9" s="94" t="s">
        <v>243</v>
      </c>
      <c r="E9" s="53" t="s">
        <v>57</v>
      </c>
      <c r="F9" s="101" t="s">
        <v>33</v>
      </c>
    </row>
    <row r="10" spans="1:6" x14ac:dyDescent="0.2">
      <c r="A10" s="18">
        <v>8</v>
      </c>
      <c r="B10" s="106" t="s">
        <v>253</v>
      </c>
      <c r="C10" s="88" t="s">
        <v>95</v>
      </c>
      <c r="D10" s="88" t="s">
        <v>244</v>
      </c>
      <c r="E10" s="53" t="s">
        <v>57</v>
      </c>
      <c r="F10" s="96" t="s">
        <v>107</v>
      </c>
    </row>
    <row r="11" spans="1:6" x14ac:dyDescent="0.2">
      <c r="A11" s="18">
        <v>9</v>
      </c>
      <c r="B11" s="88" t="s">
        <v>254</v>
      </c>
      <c r="C11" s="102" t="s">
        <v>96</v>
      </c>
      <c r="D11" s="94" t="s">
        <v>245</v>
      </c>
      <c r="E11" s="53" t="s">
        <v>57</v>
      </c>
      <c r="F11" s="96" t="s">
        <v>108</v>
      </c>
    </row>
    <row r="12" spans="1:6" x14ac:dyDescent="0.2">
      <c r="A12" s="18">
        <v>10</v>
      </c>
      <c r="B12" s="93" t="s">
        <v>34</v>
      </c>
      <c r="C12" s="93" t="s">
        <v>34</v>
      </c>
      <c r="D12" s="94" t="s">
        <v>241</v>
      </c>
      <c r="E12" s="53" t="s">
        <v>57</v>
      </c>
      <c r="F12" s="95" t="s">
        <v>34</v>
      </c>
    </row>
    <row r="13" spans="1:6" x14ac:dyDescent="0.2">
      <c r="A13" s="18">
        <v>11</v>
      </c>
      <c r="B13" s="93" t="s">
        <v>34</v>
      </c>
      <c r="C13" s="93" t="s">
        <v>34</v>
      </c>
      <c r="D13" s="94" t="s">
        <v>174</v>
      </c>
      <c r="E13" s="53" t="s">
        <v>57</v>
      </c>
      <c r="F13" s="96" t="s">
        <v>109</v>
      </c>
    </row>
    <row r="14" spans="1:6" x14ac:dyDescent="0.2">
      <c r="A14" s="18">
        <v>12</v>
      </c>
      <c r="B14" s="93" t="s">
        <v>34</v>
      </c>
      <c r="C14" s="94" t="s">
        <v>97</v>
      </c>
      <c r="D14" s="94" t="s">
        <v>81</v>
      </c>
      <c r="E14" s="53" t="s">
        <v>57</v>
      </c>
      <c r="F14" s="95" t="s">
        <v>34</v>
      </c>
    </row>
    <row r="15" spans="1:6" x14ac:dyDescent="0.2">
      <c r="A15" s="18">
        <v>13</v>
      </c>
      <c r="B15" s="93" t="s">
        <v>34</v>
      </c>
      <c r="C15" s="94" t="s">
        <v>98</v>
      </c>
      <c r="D15" s="94" t="s">
        <v>246</v>
      </c>
      <c r="E15" s="53" t="s">
        <v>57</v>
      </c>
      <c r="F15" s="101" t="s">
        <v>110</v>
      </c>
    </row>
    <row r="16" spans="1:6" x14ac:dyDescent="0.2">
      <c r="A16" s="18">
        <v>14</v>
      </c>
      <c r="B16" s="106" t="s">
        <v>253</v>
      </c>
      <c r="C16" s="93" t="s">
        <v>34</v>
      </c>
      <c r="D16" s="88" t="s">
        <v>178</v>
      </c>
      <c r="E16" s="53" t="s">
        <v>57</v>
      </c>
      <c r="F16" s="95" t="s">
        <v>34</v>
      </c>
    </row>
    <row r="17" spans="1:6" x14ac:dyDescent="0.2">
      <c r="A17" s="18">
        <v>15</v>
      </c>
      <c r="B17" s="97" t="s">
        <v>34</v>
      </c>
      <c r="C17" s="98" t="s">
        <v>34</v>
      </c>
      <c r="D17" s="98" t="s">
        <v>9</v>
      </c>
      <c r="E17" s="98" t="s">
        <v>57</v>
      </c>
      <c r="F17" s="99" t="s">
        <v>57</v>
      </c>
    </row>
    <row r="18" spans="1:6" x14ac:dyDescent="0.2">
      <c r="A18" s="18">
        <v>16</v>
      </c>
      <c r="B18" s="97" t="s">
        <v>36</v>
      </c>
      <c r="C18" s="98" t="s">
        <v>34</v>
      </c>
      <c r="D18" s="98" t="s">
        <v>9</v>
      </c>
      <c r="E18" s="98" t="s">
        <v>57</v>
      </c>
      <c r="F18" s="99" t="s">
        <v>57</v>
      </c>
    </row>
    <row r="19" spans="1:6" x14ac:dyDescent="0.2">
      <c r="A19" s="18">
        <v>17</v>
      </c>
      <c r="B19" s="93" t="s">
        <v>34</v>
      </c>
      <c r="C19" s="94" t="s">
        <v>81</v>
      </c>
      <c r="D19" s="94" t="s">
        <v>247</v>
      </c>
      <c r="E19" s="53" t="s">
        <v>57</v>
      </c>
      <c r="F19" s="95" t="s">
        <v>34</v>
      </c>
    </row>
    <row r="20" spans="1:6" x14ac:dyDescent="0.2">
      <c r="A20" s="18">
        <v>18</v>
      </c>
      <c r="B20" s="93" t="s">
        <v>34</v>
      </c>
      <c r="C20" s="93" t="s">
        <v>34</v>
      </c>
      <c r="D20" s="94" t="s">
        <v>241</v>
      </c>
      <c r="E20" s="53" t="s">
        <v>169</v>
      </c>
      <c r="F20" s="95" t="s">
        <v>34</v>
      </c>
    </row>
    <row r="21" spans="1:6" x14ac:dyDescent="0.2">
      <c r="A21" s="18">
        <v>19</v>
      </c>
      <c r="B21" s="88" t="s">
        <v>255</v>
      </c>
      <c r="C21" s="88" t="s">
        <v>99</v>
      </c>
      <c r="D21" s="88" t="s">
        <v>248</v>
      </c>
      <c r="E21" s="53" t="s">
        <v>57</v>
      </c>
      <c r="F21" s="96" t="s">
        <v>115</v>
      </c>
    </row>
    <row r="22" spans="1:6" x14ac:dyDescent="0.2">
      <c r="A22" s="18">
        <v>20</v>
      </c>
      <c r="B22" s="93" t="s">
        <v>34</v>
      </c>
      <c r="C22" s="88" t="s">
        <v>100</v>
      </c>
      <c r="D22" s="94" t="s">
        <v>174</v>
      </c>
      <c r="E22" s="53" t="s">
        <v>169</v>
      </c>
      <c r="F22" s="101" t="s">
        <v>111</v>
      </c>
    </row>
    <row r="23" spans="1:6" x14ac:dyDescent="0.2">
      <c r="A23" s="18">
        <v>21</v>
      </c>
      <c r="B23" s="77" t="s">
        <v>255</v>
      </c>
      <c r="C23" s="94" t="s">
        <v>101</v>
      </c>
      <c r="D23" s="94" t="s">
        <v>249</v>
      </c>
      <c r="E23" s="53" t="s">
        <v>57</v>
      </c>
      <c r="F23" s="101" t="s">
        <v>112</v>
      </c>
    </row>
    <row r="24" spans="1:6" x14ac:dyDescent="0.2">
      <c r="A24" s="18">
        <v>22</v>
      </c>
      <c r="B24" s="93" t="s">
        <v>34</v>
      </c>
      <c r="C24" s="88" t="s">
        <v>102</v>
      </c>
      <c r="D24" s="94" t="s">
        <v>243</v>
      </c>
      <c r="E24" s="53" t="s">
        <v>57</v>
      </c>
      <c r="F24" s="95" t="s">
        <v>113</v>
      </c>
    </row>
    <row r="25" spans="1:6" x14ac:dyDescent="0.2">
      <c r="A25" s="18">
        <v>23</v>
      </c>
      <c r="B25" s="93" t="s">
        <v>34</v>
      </c>
      <c r="C25" s="103" t="s">
        <v>103</v>
      </c>
      <c r="D25" s="94" t="s">
        <v>36</v>
      </c>
      <c r="E25" s="53" t="s">
        <v>169</v>
      </c>
      <c r="F25" s="96" t="s">
        <v>114</v>
      </c>
    </row>
    <row r="26" spans="1:6" x14ac:dyDescent="0.2">
      <c r="A26" s="18">
        <v>24</v>
      </c>
      <c r="B26" s="93" t="s">
        <v>34</v>
      </c>
      <c r="C26" s="93" t="s">
        <v>34</v>
      </c>
      <c r="D26" s="94" t="s">
        <v>252</v>
      </c>
      <c r="E26" s="53" t="s">
        <v>169</v>
      </c>
      <c r="F26" s="95" t="s">
        <v>34</v>
      </c>
    </row>
    <row r="27" spans="1:6" x14ac:dyDescent="0.2">
      <c r="A27" s="18">
        <v>25</v>
      </c>
      <c r="B27" s="93" t="s">
        <v>34</v>
      </c>
      <c r="C27" s="88" t="s">
        <v>104</v>
      </c>
      <c r="D27" s="94" t="s">
        <v>179</v>
      </c>
      <c r="E27" s="53" t="s">
        <v>169</v>
      </c>
      <c r="F27" s="101" t="s">
        <v>33</v>
      </c>
    </row>
    <row r="28" spans="1:6" x14ac:dyDescent="0.2">
      <c r="A28" s="18">
        <v>26</v>
      </c>
      <c r="B28" s="106" t="s">
        <v>256</v>
      </c>
      <c r="C28" s="104" t="s">
        <v>105</v>
      </c>
      <c r="D28" s="104" t="s">
        <v>179</v>
      </c>
      <c r="E28" s="74" t="s">
        <v>57</v>
      </c>
      <c r="F28" s="105" t="s">
        <v>116</v>
      </c>
    </row>
    <row r="30" spans="1:6" x14ac:dyDescent="0.2">
      <c r="A30" s="117" t="s">
        <v>17</v>
      </c>
      <c r="B30" s="117"/>
      <c r="C30" s="117"/>
      <c r="D30" s="117"/>
      <c r="E30" s="117"/>
      <c r="F30" s="117"/>
    </row>
    <row r="31" spans="1:6" s="25" customFormat="1" x14ac:dyDescent="0.2">
      <c r="A31" s="35"/>
      <c r="B31" s="36" t="s">
        <v>21</v>
      </c>
      <c r="C31" s="36" t="s">
        <v>29</v>
      </c>
      <c r="D31" s="36" t="s">
        <v>2</v>
      </c>
      <c r="E31" s="36" t="s">
        <v>1</v>
      </c>
      <c r="F31" s="37" t="s">
        <v>0</v>
      </c>
    </row>
    <row r="32" spans="1:6" x14ac:dyDescent="0.2">
      <c r="A32" s="31" t="s">
        <v>18</v>
      </c>
      <c r="B32" s="39">
        <v>17</v>
      </c>
      <c r="C32" s="39">
        <v>10</v>
      </c>
      <c r="D32" s="39">
        <v>0</v>
      </c>
      <c r="E32" s="39">
        <v>0</v>
      </c>
      <c r="F32" s="41">
        <v>10</v>
      </c>
    </row>
    <row r="33" spans="1:6" x14ac:dyDescent="0.2">
      <c r="A33" s="13" t="s">
        <v>26</v>
      </c>
      <c r="B33" s="15">
        <v>6</v>
      </c>
      <c r="C33" s="15">
        <v>8</v>
      </c>
      <c r="D33" s="15">
        <v>5</v>
      </c>
      <c r="E33" s="15">
        <v>0</v>
      </c>
      <c r="F33" s="42">
        <v>7</v>
      </c>
    </row>
    <row r="34" spans="1:6" x14ac:dyDescent="0.2">
      <c r="A34" s="26" t="s">
        <v>19</v>
      </c>
      <c r="B34" s="16">
        <v>0</v>
      </c>
      <c r="C34" s="16">
        <v>5</v>
      </c>
      <c r="D34" s="16">
        <v>18</v>
      </c>
      <c r="E34" s="16">
        <v>23</v>
      </c>
      <c r="F34" s="43">
        <v>6</v>
      </c>
    </row>
    <row r="35" spans="1:6" x14ac:dyDescent="0.2">
      <c r="A35" s="32" t="s">
        <v>20</v>
      </c>
      <c r="B35" s="27">
        <v>3</v>
      </c>
      <c r="C35" s="27">
        <v>3</v>
      </c>
      <c r="D35" s="27">
        <v>3</v>
      </c>
      <c r="E35" s="27">
        <v>3</v>
      </c>
      <c r="F35" s="40">
        <v>3</v>
      </c>
    </row>
    <row r="36" spans="1:6" x14ac:dyDescent="0.2">
      <c r="A36" s="33" t="s">
        <v>22</v>
      </c>
      <c r="B36" s="34">
        <f>SUM(B32:B34)</f>
        <v>23</v>
      </c>
      <c r="C36" s="34">
        <f>SUM(C32:C34)</f>
        <v>23</v>
      </c>
      <c r="D36" s="34">
        <f>SUM(D32:D34)</f>
        <v>23</v>
      </c>
      <c r="E36" s="34">
        <f>SUM(E32:E34)</f>
        <v>23</v>
      </c>
      <c r="F36" s="17">
        <f>SUM(F32:F34)</f>
        <v>23</v>
      </c>
    </row>
    <row r="39" spans="1:6" x14ac:dyDescent="0.2">
      <c r="A39" s="45" t="s">
        <v>27</v>
      </c>
      <c r="B39" s="109">
        <f>B32/B36</f>
        <v>0.73913043478260865</v>
      </c>
      <c r="C39" s="109">
        <f>C32/C36</f>
        <v>0.43478260869565216</v>
      </c>
      <c r="D39" s="109">
        <f>D32/D36</f>
        <v>0</v>
      </c>
      <c r="E39" s="110">
        <f>E32/E36</f>
        <v>0</v>
      </c>
      <c r="F39" s="109">
        <f>F32/F36</f>
        <v>0.43478260869565216</v>
      </c>
    </row>
    <row r="40" spans="1:6" x14ac:dyDescent="0.2">
      <c r="A40" s="47" t="s">
        <v>28</v>
      </c>
      <c r="B40" s="111">
        <f>SUM(B32,B33)/B36</f>
        <v>1</v>
      </c>
      <c r="C40" s="111">
        <f>SUM(C32,C33)/C36</f>
        <v>0.78260869565217395</v>
      </c>
      <c r="D40" s="111">
        <f>SUM(D32,D33)/D36</f>
        <v>0.21739130434782608</v>
      </c>
      <c r="E40" s="111">
        <f>SUM(E32,E33)/E36</f>
        <v>0</v>
      </c>
      <c r="F40" s="111">
        <f>SUM(F32,F33)/F36</f>
        <v>0.73913043478260865</v>
      </c>
    </row>
    <row r="43" spans="1:6" x14ac:dyDescent="0.2">
      <c r="A43" t="s">
        <v>23</v>
      </c>
    </row>
    <row r="44" spans="1:6" x14ac:dyDescent="0.2">
      <c r="A44" t="s">
        <v>24</v>
      </c>
    </row>
    <row r="45" spans="1:6" x14ac:dyDescent="0.2">
      <c r="A45" t="s">
        <v>25</v>
      </c>
    </row>
  </sheetData>
  <mergeCells count="3">
    <mergeCell ref="A1:A2"/>
    <mergeCell ref="B1:F1"/>
    <mergeCell ref="A30:F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FA2-C63D-F443-9008-6A0C00232DF0}">
  <dimension ref="A1:P47"/>
  <sheetViews>
    <sheetView topLeftCell="J1" zoomScale="130" zoomScaleNormal="130" workbookViewId="0">
      <selection activeCell="R32" sqref="R32"/>
    </sheetView>
  </sheetViews>
  <sheetFormatPr baseColWidth="10" defaultRowHeight="16" x14ac:dyDescent="0.2"/>
  <cols>
    <col min="1" max="1" width="10.83203125" style="5" customWidth="1"/>
    <col min="2" max="3" width="15.6640625" style="5" customWidth="1"/>
    <col min="4" max="4" width="15.6640625" style="1" customWidth="1"/>
    <col min="5" max="5" width="15.83203125" style="1" customWidth="1"/>
    <col min="6" max="6" width="15.6640625" style="1" customWidth="1"/>
    <col min="7" max="7" width="15.83203125" style="1" customWidth="1"/>
    <col min="8" max="8" width="15.6640625" style="1" customWidth="1"/>
    <col min="9" max="10" width="15.83203125" style="1" customWidth="1"/>
    <col min="11" max="11" width="16.33203125" style="1" customWidth="1"/>
    <col min="12" max="14" width="15.83203125" style="1" customWidth="1"/>
    <col min="15" max="15" width="16" style="1" customWidth="1"/>
    <col min="16" max="16" width="15.83203125" style="1" customWidth="1"/>
  </cols>
  <sheetData>
    <row r="1" spans="1:16" x14ac:dyDescent="0.2">
      <c r="A1" s="124" t="s">
        <v>4</v>
      </c>
      <c r="B1" s="127" t="s">
        <v>6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2" spans="1:16" s="25" customFormat="1" x14ac:dyDescent="0.2">
      <c r="A2" s="125"/>
      <c r="B2" s="128" t="s">
        <v>3</v>
      </c>
      <c r="C2" s="128"/>
      <c r="D2" s="128"/>
      <c r="E2" s="128" t="s">
        <v>29</v>
      </c>
      <c r="F2" s="128"/>
      <c r="G2" s="128"/>
      <c r="H2" s="128" t="s">
        <v>2</v>
      </c>
      <c r="I2" s="128"/>
      <c r="J2" s="128"/>
      <c r="K2" s="128" t="s">
        <v>1</v>
      </c>
      <c r="L2" s="128"/>
      <c r="M2" s="128"/>
      <c r="N2" s="128" t="s">
        <v>0</v>
      </c>
      <c r="O2" s="128"/>
      <c r="P2" s="128"/>
    </row>
    <row r="3" spans="1:16" x14ac:dyDescent="0.2">
      <c r="A3" s="126"/>
      <c r="B3" s="21" t="s">
        <v>11</v>
      </c>
      <c r="C3" s="21" t="s">
        <v>12</v>
      </c>
      <c r="D3" s="21" t="s">
        <v>13</v>
      </c>
      <c r="E3" s="8" t="s">
        <v>11</v>
      </c>
      <c r="F3" s="8" t="s">
        <v>12</v>
      </c>
      <c r="G3" s="8" t="s">
        <v>13</v>
      </c>
      <c r="H3" s="8" t="s">
        <v>11</v>
      </c>
      <c r="I3" s="8" t="s">
        <v>12</v>
      </c>
      <c r="J3" s="8" t="s">
        <v>13</v>
      </c>
      <c r="K3" s="8" t="s">
        <v>11</v>
      </c>
      <c r="L3" s="8" t="s">
        <v>12</v>
      </c>
      <c r="M3" s="8" t="s">
        <v>13</v>
      </c>
      <c r="N3" s="8" t="s">
        <v>11</v>
      </c>
      <c r="O3" s="8" t="s">
        <v>12</v>
      </c>
      <c r="P3" s="8" t="s">
        <v>13</v>
      </c>
    </row>
    <row r="4" spans="1:16" x14ac:dyDescent="0.2">
      <c r="A4" s="9">
        <v>1</v>
      </c>
      <c r="B4" s="72" t="s">
        <v>34</v>
      </c>
      <c r="C4" s="72" t="s">
        <v>34</v>
      </c>
      <c r="D4" s="72" t="s">
        <v>34</v>
      </c>
      <c r="E4" s="129" t="s">
        <v>74</v>
      </c>
      <c r="F4" s="130"/>
      <c r="G4" s="131"/>
      <c r="H4" s="166" t="s">
        <v>175</v>
      </c>
      <c r="I4" s="167"/>
      <c r="J4" s="168"/>
      <c r="K4" s="152" t="s">
        <v>57</v>
      </c>
      <c r="L4" s="153"/>
      <c r="M4" s="154"/>
      <c r="N4" s="70" t="s">
        <v>136</v>
      </c>
      <c r="O4" s="56" t="s">
        <v>34</v>
      </c>
      <c r="P4" s="71" t="s">
        <v>32</v>
      </c>
    </row>
    <row r="5" spans="1:16" x14ac:dyDescent="0.2">
      <c r="A5" s="9">
        <v>2</v>
      </c>
      <c r="B5" s="76" t="s">
        <v>257</v>
      </c>
      <c r="C5" s="76" t="s">
        <v>257</v>
      </c>
      <c r="D5" s="76" t="s">
        <v>257</v>
      </c>
      <c r="E5" s="52" t="s">
        <v>75</v>
      </c>
      <c r="F5" s="48" t="s">
        <v>76</v>
      </c>
      <c r="G5" s="65" t="s">
        <v>77</v>
      </c>
      <c r="H5" s="169" t="s">
        <v>174</v>
      </c>
      <c r="I5" s="170"/>
      <c r="J5" s="171"/>
      <c r="K5" s="152" t="s">
        <v>57</v>
      </c>
      <c r="L5" s="153"/>
      <c r="M5" s="154"/>
      <c r="N5" s="52" t="s">
        <v>137</v>
      </c>
      <c r="O5" s="53" t="s">
        <v>138</v>
      </c>
      <c r="P5" s="65" t="s">
        <v>139</v>
      </c>
    </row>
    <row r="6" spans="1:16" x14ac:dyDescent="0.2">
      <c r="A6" s="9">
        <v>3</v>
      </c>
      <c r="B6" s="72" t="s">
        <v>34</v>
      </c>
      <c r="C6" s="72" t="s">
        <v>34</v>
      </c>
      <c r="D6" s="72" t="s">
        <v>34</v>
      </c>
      <c r="E6" s="72" t="s">
        <v>34</v>
      </c>
      <c r="F6" s="61" t="s">
        <v>34</v>
      </c>
      <c r="G6" s="66" t="s">
        <v>34</v>
      </c>
      <c r="H6" s="169" t="s">
        <v>174</v>
      </c>
      <c r="I6" s="170"/>
      <c r="J6" s="171"/>
      <c r="K6" s="152" t="s">
        <v>57</v>
      </c>
      <c r="L6" s="153"/>
      <c r="M6" s="154"/>
      <c r="N6" s="72" t="s">
        <v>34</v>
      </c>
      <c r="O6" s="61" t="s">
        <v>34</v>
      </c>
      <c r="P6" s="66" t="s">
        <v>34</v>
      </c>
    </row>
    <row r="7" spans="1:16" x14ac:dyDescent="0.2">
      <c r="A7" s="9">
        <v>4</v>
      </c>
      <c r="B7" s="72" t="s">
        <v>34</v>
      </c>
      <c r="C7" s="72" t="s">
        <v>34</v>
      </c>
      <c r="D7" s="72" t="s">
        <v>34</v>
      </c>
      <c r="E7" s="72" t="s">
        <v>34</v>
      </c>
      <c r="F7" s="61" t="s">
        <v>34</v>
      </c>
      <c r="G7" s="65" t="s">
        <v>78</v>
      </c>
      <c r="H7" s="52" t="s">
        <v>222</v>
      </c>
      <c r="I7" s="52" t="s">
        <v>223</v>
      </c>
      <c r="J7" s="89" t="s">
        <v>174</v>
      </c>
      <c r="K7" s="146" t="s">
        <v>167</v>
      </c>
      <c r="L7" s="147"/>
      <c r="M7" s="148"/>
      <c r="N7" s="132" t="s">
        <v>140</v>
      </c>
      <c r="O7" s="133"/>
      <c r="P7" s="134"/>
    </row>
    <row r="8" spans="1:16" x14ac:dyDescent="0.2">
      <c r="A8" s="9">
        <v>5</v>
      </c>
      <c r="B8" s="72" t="s">
        <v>34</v>
      </c>
      <c r="C8" s="72" t="s">
        <v>34</v>
      </c>
      <c r="D8" s="72" t="s">
        <v>34</v>
      </c>
      <c r="E8" s="72" t="s">
        <v>34</v>
      </c>
      <c r="F8" s="48" t="s">
        <v>79</v>
      </c>
      <c r="G8" s="65" t="s">
        <v>79</v>
      </c>
      <c r="H8" s="169" t="s">
        <v>174</v>
      </c>
      <c r="I8" s="170"/>
      <c r="J8" s="171"/>
      <c r="K8" s="152" t="s">
        <v>57</v>
      </c>
      <c r="L8" s="153"/>
      <c r="M8" s="154"/>
      <c r="N8" s="140" t="s">
        <v>141</v>
      </c>
      <c r="O8" s="141"/>
      <c r="P8" s="142"/>
    </row>
    <row r="9" spans="1:16" x14ac:dyDescent="0.2">
      <c r="A9" s="9">
        <v>6</v>
      </c>
      <c r="B9" s="240" t="s">
        <v>34</v>
      </c>
      <c r="C9" s="240" t="s">
        <v>34</v>
      </c>
      <c r="D9" s="240" t="s">
        <v>34</v>
      </c>
      <c r="E9" s="241" t="s">
        <v>74</v>
      </c>
      <c r="F9" s="242"/>
      <c r="G9" s="243"/>
      <c r="H9" s="244" t="s">
        <v>91</v>
      </c>
      <c r="I9" s="245"/>
      <c r="J9" s="246"/>
      <c r="K9" s="247" t="s">
        <v>57</v>
      </c>
      <c r="L9" s="248"/>
      <c r="M9" s="249"/>
      <c r="N9" s="241" t="s">
        <v>142</v>
      </c>
      <c r="O9" s="242"/>
      <c r="P9" s="243"/>
    </row>
    <row r="10" spans="1:16" x14ac:dyDescent="0.2">
      <c r="A10" s="9">
        <v>7</v>
      </c>
      <c r="B10" s="72" t="s">
        <v>34</v>
      </c>
      <c r="C10" s="72" t="s">
        <v>34</v>
      </c>
      <c r="D10" s="72" t="s">
        <v>34</v>
      </c>
      <c r="E10" s="72" t="s">
        <v>34</v>
      </c>
      <c r="F10" s="61" t="s">
        <v>34</v>
      </c>
      <c r="G10" s="65" t="s">
        <v>80</v>
      </c>
      <c r="H10" s="169" t="s">
        <v>10</v>
      </c>
      <c r="I10" s="170"/>
      <c r="J10" s="171"/>
      <c r="K10" s="152" t="s">
        <v>57</v>
      </c>
      <c r="L10" s="153"/>
      <c r="M10" s="154"/>
      <c r="N10" s="132" t="s">
        <v>143</v>
      </c>
      <c r="O10" s="133"/>
      <c r="P10" s="134"/>
    </row>
    <row r="11" spans="1:16" x14ac:dyDescent="0.2">
      <c r="A11" s="9">
        <v>8</v>
      </c>
      <c r="B11" s="68" t="s">
        <v>36</v>
      </c>
      <c r="C11" s="68" t="s">
        <v>36</v>
      </c>
      <c r="D11" s="68" t="s">
        <v>36</v>
      </c>
      <c r="E11" s="68" t="s">
        <v>34</v>
      </c>
      <c r="F11" s="62" t="s">
        <v>34</v>
      </c>
      <c r="G11" s="69" t="s">
        <v>34</v>
      </c>
      <c r="H11" s="172" t="s">
        <v>176</v>
      </c>
      <c r="I11" s="173"/>
      <c r="J11" s="174"/>
      <c r="K11" s="155" t="s">
        <v>167</v>
      </c>
      <c r="L11" s="156"/>
      <c r="M11" s="157"/>
      <c r="N11" s="143" t="s">
        <v>143</v>
      </c>
      <c r="O11" s="144"/>
      <c r="P11" s="145"/>
    </row>
    <row r="12" spans="1:16" x14ac:dyDescent="0.2">
      <c r="A12" s="9">
        <v>9</v>
      </c>
      <c r="B12" s="72" t="s">
        <v>34</v>
      </c>
      <c r="C12" s="72" t="s">
        <v>34</v>
      </c>
      <c r="D12" s="72" t="s">
        <v>258</v>
      </c>
      <c r="E12" s="72" t="s">
        <v>34</v>
      </c>
      <c r="F12" s="61" t="s">
        <v>34</v>
      </c>
      <c r="G12" s="66" t="s">
        <v>34</v>
      </c>
      <c r="H12" s="169" t="s">
        <v>227</v>
      </c>
      <c r="I12" s="170"/>
      <c r="J12" s="171"/>
      <c r="K12" s="152" t="s">
        <v>57</v>
      </c>
      <c r="L12" s="153"/>
      <c r="M12" s="154"/>
      <c r="N12" s="52" t="s">
        <v>144</v>
      </c>
      <c r="O12" s="61" t="s">
        <v>34</v>
      </c>
      <c r="P12" s="65" t="s">
        <v>145</v>
      </c>
    </row>
    <row r="13" spans="1:16" x14ac:dyDescent="0.2">
      <c r="A13" s="9">
        <v>10</v>
      </c>
      <c r="B13" s="72" t="s">
        <v>34</v>
      </c>
      <c r="C13" s="72" t="s">
        <v>34</v>
      </c>
      <c r="D13" s="72" t="s">
        <v>34</v>
      </c>
      <c r="E13" s="72" t="s">
        <v>34</v>
      </c>
      <c r="F13" s="53" t="s">
        <v>81</v>
      </c>
      <c r="G13" s="66" t="s">
        <v>34</v>
      </c>
      <c r="H13" s="90" t="s">
        <v>230</v>
      </c>
      <c r="I13" s="90" t="s">
        <v>230</v>
      </c>
      <c r="J13" s="90" t="s">
        <v>230</v>
      </c>
      <c r="K13" s="152" t="s">
        <v>57</v>
      </c>
      <c r="L13" s="153"/>
      <c r="M13" s="154"/>
      <c r="N13" s="72" t="s">
        <v>34</v>
      </c>
      <c r="O13" s="61" t="s">
        <v>34</v>
      </c>
      <c r="P13" s="66" t="s">
        <v>34</v>
      </c>
    </row>
    <row r="14" spans="1:16" x14ac:dyDescent="0.2">
      <c r="A14" s="9">
        <v>11</v>
      </c>
      <c r="B14" s="76" t="s">
        <v>259</v>
      </c>
      <c r="C14" s="76" t="s">
        <v>259</v>
      </c>
      <c r="D14" s="72" t="s">
        <v>34</v>
      </c>
      <c r="E14" s="135" t="s">
        <v>82</v>
      </c>
      <c r="F14" s="136"/>
      <c r="G14" s="137"/>
      <c r="H14" s="66" t="s">
        <v>34</v>
      </c>
      <c r="I14" s="67" t="s">
        <v>224</v>
      </c>
      <c r="J14" s="66" t="s">
        <v>34</v>
      </c>
      <c r="K14" s="152" t="s">
        <v>57</v>
      </c>
      <c r="L14" s="153"/>
      <c r="M14" s="154"/>
      <c r="N14" s="132" t="s">
        <v>146</v>
      </c>
      <c r="O14" s="133"/>
      <c r="P14" s="66" t="s">
        <v>34</v>
      </c>
    </row>
    <row r="15" spans="1:16" x14ac:dyDescent="0.2">
      <c r="A15" s="9">
        <v>12</v>
      </c>
      <c r="B15" s="72" t="s">
        <v>34</v>
      </c>
      <c r="C15" s="72" t="s">
        <v>34</v>
      </c>
      <c r="D15" s="72" t="s">
        <v>34</v>
      </c>
      <c r="E15" s="52" t="s">
        <v>83</v>
      </c>
      <c r="F15" s="53" t="s">
        <v>84</v>
      </c>
      <c r="G15" s="66" t="s">
        <v>34</v>
      </c>
      <c r="H15" s="52" t="s">
        <v>225</v>
      </c>
      <c r="I15" s="52" t="s">
        <v>226</v>
      </c>
      <c r="J15" s="66" t="s">
        <v>34</v>
      </c>
      <c r="K15" s="152" t="s">
        <v>57</v>
      </c>
      <c r="L15" s="153"/>
      <c r="M15" s="154"/>
      <c r="N15" s="146" t="s">
        <v>147</v>
      </c>
      <c r="O15" s="147"/>
      <c r="P15" s="148"/>
    </row>
    <row r="16" spans="1:16" x14ac:dyDescent="0.2">
      <c r="A16" s="9">
        <v>13</v>
      </c>
      <c r="B16" s="72" t="s">
        <v>34</v>
      </c>
      <c r="C16" s="72" t="s">
        <v>34</v>
      </c>
      <c r="D16" s="72" t="s">
        <v>34</v>
      </c>
      <c r="E16" s="52" t="s">
        <v>86</v>
      </c>
      <c r="F16" s="53" t="s">
        <v>81</v>
      </c>
      <c r="G16" s="65" t="s">
        <v>85</v>
      </c>
      <c r="H16" s="169" t="s">
        <v>227</v>
      </c>
      <c r="I16" s="170"/>
      <c r="J16" s="171"/>
      <c r="K16" s="152" t="s">
        <v>57</v>
      </c>
      <c r="L16" s="153"/>
      <c r="M16" s="154"/>
      <c r="N16" s="132" t="s">
        <v>143</v>
      </c>
      <c r="O16" s="133"/>
      <c r="P16" s="134"/>
    </row>
    <row r="17" spans="1:16" x14ac:dyDescent="0.2">
      <c r="A17" s="9">
        <v>14</v>
      </c>
      <c r="B17" s="240" t="s">
        <v>260</v>
      </c>
      <c r="C17" s="240" t="s">
        <v>260</v>
      </c>
      <c r="D17" s="240" t="s">
        <v>260</v>
      </c>
      <c r="E17" s="241" t="s">
        <v>74</v>
      </c>
      <c r="F17" s="242"/>
      <c r="G17" s="243"/>
      <c r="H17" s="244" t="s">
        <v>227</v>
      </c>
      <c r="I17" s="245"/>
      <c r="J17" s="246"/>
      <c r="K17" s="247" t="s">
        <v>57</v>
      </c>
      <c r="L17" s="248"/>
      <c r="M17" s="249"/>
      <c r="N17" s="241" t="s">
        <v>142</v>
      </c>
      <c r="O17" s="242"/>
      <c r="P17" s="243"/>
    </row>
    <row r="18" spans="1:16" x14ac:dyDescent="0.2">
      <c r="A18" s="9">
        <v>15</v>
      </c>
      <c r="B18" s="68" t="s">
        <v>34</v>
      </c>
      <c r="C18" s="68" t="s">
        <v>34</v>
      </c>
      <c r="D18" s="68" t="s">
        <v>34</v>
      </c>
      <c r="E18" s="68"/>
      <c r="F18" s="62"/>
      <c r="G18" s="69"/>
      <c r="H18" s="68" t="s">
        <v>30</v>
      </c>
      <c r="I18" s="62"/>
      <c r="J18" s="69"/>
      <c r="K18" s="163" t="s">
        <v>57</v>
      </c>
      <c r="L18" s="164"/>
      <c r="M18" s="165"/>
      <c r="N18" s="143" t="s">
        <v>142</v>
      </c>
      <c r="O18" s="144"/>
      <c r="P18" s="145"/>
    </row>
    <row r="19" spans="1:16" x14ac:dyDescent="0.2">
      <c r="A19" s="9">
        <v>16</v>
      </c>
      <c r="B19" s="72" t="s">
        <v>34</v>
      </c>
      <c r="C19" s="72" t="s">
        <v>34</v>
      </c>
      <c r="D19" s="72" t="s">
        <v>34</v>
      </c>
      <c r="E19" s="72" t="s">
        <v>34</v>
      </c>
      <c r="F19" s="61" t="s">
        <v>34</v>
      </c>
      <c r="G19" s="66" t="s">
        <v>34</v>
      </c>
      <c r="H19" s="175" t="s">
        <v>30</v>
      </c>
      <c r="I19" s="176"/>
      <c r="J19" s="177"/>
      <c r="K19" s="152" t="s">
        <v>57</v>
      </c>
      <c r="L19" s="153"/>
      <c r="M19" s="154"/>
      <c r="N19" s="132" t="s">
        <v>142</v>
      </c>
      <c r="O19" s="133"/>
      <c r="P19" s="134"/>
    </row>
    <row r="20" spans="1:16" x14ac:dyDescent="0.2">
      <c r="A20" s="9">
        <v>17</v>
      </c>
      <c r="B20" s="72" t="s">
        <v>34</v>
      </c>
      <c r="C20" s="72" t="s">
        <v>34</v>
      </c>
      <c r="D20" s="72" t="s">
        <v>261</v>
      </c>
      <c r="E20" s="72" t="s">
        <v>34</v>
      </c>
      <c r="F20" s="48" t="s">
        <v>87</v>
      </c>
      <c r="G20" s="65" t="s">
        <v>250</v>
      </c>
      <c r="H20" s="90" t="s">
        <v>230</v>
      </c>
      <c r="I20" s="90" t="s">
        <v>230</v>
      </c>
      <c r="J20" s="90" t="s">
        <v>251</v>
      </c>
      <c r="K20" s="152" t="s">
        <v>57</v>
      </c>
      <c r="L20" s="153"/>
      <c r="M20" s="154"/>
      <c r="N20" s="67" t="s">
        <v>81</v>
      </c>
      <c r="O20" s="61" t="s">
        <v>34</v>
      </c>
      <c r="P20" s="63" t="s">
        <v>148</v>
      </c>
    </row>
    <row r="21" spans="1:16" x14ac:dyDescent="0.2">
      <c r="A21" s="9">
        <v>18</v>
      </c>
      <c r="B21" s="72" t="s">
        <v>34</v>
      </c>
      <c r="C21" s="72" t="s">
        <v>34</v>
      </c>
      <c r="D21" s="72" t="s">
        <v>34</v>
      </c>
      <c r="E21" s="72" t="s">
        <v>34</v>
      </c>
      <c r="F21" s="61" t="s">
        <v>34</v>
      </c>
      <c r="G21" s="66" t="s">
        <v>34</v>
      </c>
      <c r="H21" s="90" t="s">
        <v>230</v>
      </c>
      <c r="I21" s="90" t="s">
        <v>230</v>
      </c>
      <c r="J21" s="90" t="s">
        <v>230</v>
      </c>
      <c r="K21" s="152" t="s">
        <v>57</v>
      </c>
      <c r="L21" s="153"/>
      <c r="M21" s="154"/>
      <c r="N21" s="72" t="s">
        <v>34</v>
      </c>
      <c r="O21" s="48" t="s">
        <v>149</v>
      </c>
      <c r="P21" s="66" t="s">
        <v>34</v>
      </c>
    </row>
    <row r="22" spans="1:16" x14ac:dyDescent="0.2">
      <c r="A22" s="9">
        <v>19</v>
      </c>
      <c r="B22" s="72" t="s">
        <v>34</v>
      </c>
      <c r="C22" s="72" t="s">
        <v>34</v>
      </c>
      <c r="D22" s="69"/>
      <c r="E22" s="67" t="s">
        <v>10</v>
      </c>
      <c r="F22" s="53" t="s">
        <v>88</v>
      </c>
      <c r="G22" s="69"/>
      <c r="H22" s="90" t="s">
        <v>230</v>
      </c>
      <c r="I22" s="78" t="s">
        <v>10</v>
      </c>
      <c r="J22" s="69" t="s">
        <v>10</v>
      </c>
      <c r="K22" s="152" t="s">
        <v>57</v>
      </c>
      <c r="L22" s="153"/>
      <c r="M22" s="154"/>
      <c r="N22" s="72" t="s">
        <v>34</v>
      </c>
      <c r="O22" s="61" t="s">
        <v>34</v>
      </c>
      <c r="P22" s="69"/>
    </row>
    <row r="23" spans="1:16" x14ac:dyDescent="0.2">
      <c r="A23" s="9">
        <v>20</v>
      </c>
      <c r="B23" s="72" t="s">
        <v>34</v>
      </c>
      <c r="C23" s="72" t="s">
        <v>34</v>
      </c>
      <c r="D23" s="72" t="s">
        <v>34</v>
      </c>
      <c r="E23" s="72" t="s">
        <v>34</v>
      </c>
      <c r="F23" s="61" t="s">
        <v>34</v>
      </c>
      <c r="G23" s="65" t="s">
        <v>32</v>
      </c>
      <c r="H23" s="79" t="s">
        <v>229</v>
      </c>
      <c r="I23" s="79" t="s">
        <v>228</v>
      </c>
      <c r="J23" s="79" t="s">
        <v>228</v>
      </c>
      <c r="K23" s="152" t="s">
        <v>57</v>
      </c>
      <c r="L23" s="153"/>
      <c r="M23" s="154"/>
      <c r="N23" s="72" t="s">
        <v>34</v>
      </c>
      <c r="O23" s="61" t="s">
        <v>34</v>
      </c>
      <c r="P23" s="65" t="s">
        <v>32</v>
      </c>
    </row>
    <row r="24" spans="1:16" x14ac:dyDescent="0.2">
      <c r="A24" s="9">
        <v>21</v>
      </c>
      <c r="B24" s="67" t="s">
        <v>262</v>
      </c>
      <c r="C24" s="67" t="s">
        <v>260</v>
      </c>
      <c r="D24" s="67" t="s">
        <v>263</v>
      </c>
      <c r="E24" s="72" t="s">
        <v>34</v>
      </c>
      <c r="F24" s="61" t="s">
        <v>34</v>
      </c>
      <c r="G24" s="65" t="s">
        <v>32</v>
      </c>
      <c r="H24" s="158" t="s">
        <v>231</v>
      </c>
      <c r="I24" s="159"/>
      <c r="J24" s="160"/>
      <c r="K24" s="152" t="s">
        <v>57</v>
      </c>
      <c r="L24" s="153"/>
      <c r="M24" s="154"/>
      <c r="N24" s="132" t="s">
        <v>143</v>
      </c>
      <c r="O24" s="133"/>
      <c r="P24" s="134"/>
    </row>
    <row r="25" spans="1:16" x14ac:dyDescent="0.2">
      <c r="A25" s="9">
        <v>22</v>
      </c>
      <c r="B25" s="72" t="s">
        <v>34</v>
      </c>
      <c r="C25" s="72" t="s">
        <v>34</v>
      </c>
      <c r="D25" s="72" t="s">
        <v>34</v>
      </c>
      <c r="E25" s="72" t="s">
        <v>34</v>
      </c>
      <c r="F25" s="48" t="s">
        <v>89</v>
      </c>
      <c r="G25" s="65" t="s">
        <v>32</v>
      </c>
      <c r="H25" s="52" t="s">
        <v>232</v>
      </c>
      <c r="I25" s="90" t="s">
        <v>230</v>
      </c>
      <c r="J25" s="52" t="s">
        <v>233</v>
      </c>
      <c r="K25" s="152" t="s">
        <v>57</v>
      </c>
      <c r="L25" s="153"/>
      <c r="M25" s="154"/>
      <c r="N25" s="132" t="s">
        <v>142</v>
      </c>
      <c r="O25" s="133"/>
      <c r="P25" s="134"/>
    </row>
    <row r="26" spans="1:16" x14ac:dyDescent="0.2">
      <c r="A26" s="9">
        <v>23</v>
      </c>
      <c r="B26" s="72" t="s">
        <v>34</v>
      </c>
      <c r="C26" s="72" t="s">
        <v>34</v>
      </c>
      <c r="D26" s="72" t="s">
        <v>34</v>
      </c>
      <c r="E26" s="72" t="s">
        <v>34</v>
      </c>
      <c r="F26" s="48" t="s">
        <v>76</v>
      </c>
      <c r="G26" s="65" t="s">
        <v>32</v>
      </c>
      <c r="H26" s="67" t="s">
        <v>235</v>
      </c>
      <c r="I26" s="79" t="s">
        <v>234</v>
      </c>
      <c r="J26" s="79" t="s">
        <v>234</v>
      </c>
      <c r="K26" s="152" t="s">
        <v>57</v>
      </c>
      <c r="L26" s="153"/>
      <c r="M26" s="154"/>
      <c r="N26" s="132" t="s">
        <v>143</v>
      </c>
      <c r="O26" s="133"/>
      <c r="P26" s="134"/>
    </row>
    <row r="27" spans="1:16" x14ac:dyDescent="0.2">
      <c r="A27" s="9">
        <v>24</v>
      </c>
      <c r="B27" s="52" t="s">
        <v>264</v>
      </c>
      <c r="C27" s="52" t="s">
        <v>265</v>
      </c>
      <c r="D27" s="72" t="s">
        <v>34</v>
      </c>
      <c r="E27" s="67" t="s">
        <v>74</v>
      </c>
      <c r="F27" s="48" t="s">
        <v>90</v>
      </c>
      <c r="G27" s="63" t="s">
        <v>74</v>
      </c>
      <c r="H27" s="161" t="s">
        <v>236</v>
      </c>
      <c r="I27" s="162"/>
      <c r="J27" s="66" t="s">
        <v>34</v>
      </c>
      <c r="K27" s="152" t="s">
        <v>57</v>
      </c>
      <c r="L27" s="153"/>
      <c r="M27" s="154"/>
      <c r="N27" s="146" t="s">
        <v>91</v>
      </c>
      <c r="O27" s="147"/>
      <c r="P27" s="66" t="s">
        <v>34</v>
      </c>
    </row>
    <row r="28" spans="1:16" x14ac:dyDescent="0.2">
      <c r="A28" s="9">
        <v>25</v>
      </c>
      <c r="B28" s="52" t="s">
        <v>266</v>
      </c>
      <c r="C28" s="76" t="s">
        <v>36</v>
      </c>
      <c r="D28" s="72" t="s">
        <v>34</v>
      </c>
      <c r="E28" s="67" t="s">
        <v>91</v>
      </c>
      <c r="F28" s="53" t="s">
        <v>81</v>
      </c>
      <c r="G28" s="65" t="s">
        <v>32</v>
      </c>
      <c r="H28" s="52" t="s">
        <v>237</v>
      </c>
      <c r="I28" s="66" t="s">
        <v>34</v>
      </c>
      <c r="J28" s="71" t="s">
        <v>32</v>
      </c>
      <c r="K28" s="152" t="s">
        <v>57</v>
      </c>
      <c r="L28" s="153"/>
      <c r="M28" s="154"/>
      <c r="N28" s="132" t="s">
        <v>142</v>
      </c>
      <c r="O28" s="133"/>
      <c r="P28" s="134"/>
    </row>
    <row r="29" spans="1:16" x14ac:dyDescent="0.2">
      <c r="A29" s="11">
        <v>26</v>
      </c>
      <c r="B29" s="52" t="s">
        <v>267</v>
      </c>
      <c r="C29" s="72" t="s">
        <v>34</v>
      </c>
      <c r="D29" s="72" t="s">
        <v>34</v>
      </c>
      <c r="E29" s="73" t="s">
        <v>74</v>
      </c>
      <c r="F29" s="74" t="s">
        <v>74</v>
      </c>
      <c r="G29" s="75" t="s">
        <v>92</v>
      </c>
      <c r="H29" s="52" t="s">
        <v>238</v>
      </c>
      <c r="I29" s="66" t="s">
        <v>34</v>
      </c>
      <c r="J29" s="71" t="s">
        <v>32</v>
      </c>
      <c r="K29" s="146" t="s">
        <v>167</v>
      </c>
      <c r="L29" s="147"/>
      <c r="M29" s="148"/>
      <c r="N29" s="149" t="s">
        <v>142</v>
      </c>
      <c r="O29" s="150"/>
      <c r="P29" s="151"/>
    </row>
    <row r="30" spans="1:16" x14ac:dyDescent="0.2">
      <c r="A30" s="6"/>
      <c r="B30" s="6"/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">
      <c r="A31" s="138" t="s">
        <v>17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</row>
    <row r="32" spans="1:16" s="25" customFormat="1" x14ac:dyDescent="0.2">
      <c r="A32" s="24"/>
      <c r="B32" s="121" t="s">
        <v>21</v>
      </c>
      <c r="C32" s="122"/>
      <c r="D32" s="123"/>
      <c r="E32" s="121" t="s">
        <v>29</v>
      </c>
      <c r="F32" s="122"/>
      <c r="G32" s="123"/>
      <c r="H32" s="121" t="s">
        <v>2</v>
      </c>
      <c r="I32" s="122"/>
      <c r="J32" s="123"/>
      <c r="K32" s="121" t="s">
        <v>1</v>
      </c>
      <c r="L32" s="122"/>
      <c r="M32" s="123"/>
      <c r="N32" s="121" t="s">
        <v>0</v>
      </c>
      <c r="O32" s="122"/>
      <c r="P32" s="123"/>
    </row>
    <row r="33" spans="1:16" x14ac:dyDescent="0.2">
      <c r="A33" s="12" t="s">
        <v>18</v>
      </c>
      <c r="B33" s="12">
        <v>16</v>
      </c>
      <c r="C33" s="12">
        <v>17</v>
      </c>
      <c r="D33" s="12">
        <v>19</v>
      </c>
      <c r="E33" s="12">
        <v>13</v>
      </c>
      <c r="F33" s="12">
        <v>8</v>
      </c>
      <c r="G33" s="12">
        <v>6</v>
      </c>
      <c r="H33" s="12">
        <v>1</v>
      </c>
      <c r="I33" s="12">
        <v>2</v>
      </c>
      <c r="J33" s="12">
        <v>3</v>
      </c>
      <c r="K33" s="12">
        <v>0</v>
      </c>
      <c r="L33" s="12">
        <v>0</v>
      </c>
      <c r="M33" s="12">
        <v>0</v>
      </c>
      <c r="N33" s="12">
        <v>5</v>
      </c>
      <c r="O33" s="12">
        <v>7</v>
      </c>
      <c r="P33" s="12">
        <v>5</v>
      </c>
    </row>
    <row r="34" spans="1:16" x14ac:dyDescent="0.2">
      <c r="A34" s="13" t="s">
        <v>26</v>
      </c>
      <c r="B34" s="13">
        <v>3</v>
      </c>
      <c r="C34" s="13">
        <v>1</v>
      </c>
      <c r="D34" s="13">
        <v>0</v>
      </c>
      <c r="E34" s="13">
        <v>4</v>
      </c>
      <c r="F34" s="13">
        <v>7</v>
      </c>
      <c r="G34" s="13">
        <v>12</v>
      </c>
      <c r="H34" s="13">
        <v>11</v>
      </c>
      <c r="I34" s="13">
        <v>8</v>
      </c>
      <c r="J34" s="13">
        <v>7</v>
      </c>
      <c r="K34" s="13">
        <v>0</v>
      </c>
      <c r="L34" s="13">
        <v>0</v>
      </c>
      <c r="M34" s="13">
        <v>0</v>
      </c>
      <c r="N34" s="13">
        <v>4</v>
      </c>
      <c r="O34" s="13">
        <v>2</v>
      </c>
      <c r="P34" s="13">
        <v>5</v>
      </c>
    </row>
    <row r="35" spans="1:16" x14ac:dyDescent="0.2">
      <c r="A35" s="14" t="s">
        <v>19</v>
      </c>
      <c r="B35" s="14">
        <v>3</v>
      </c>
      <c r="C35" s="14">
        <v>4</v>
      </c>
      <c r="D35" s="14">
        <v>2</v>
      </c>
      <c r="E35" s="14">
        <v>5</v>
      </c>
      <c r="F35" s="14">
        <v>7</v>
      </c>
      <c r="G35" s="14">
        <v>3</v>
      </c>
      <c r="H35" s="14">
        <v>10</v>
      </c>
      <c r="I35" s="14">
        <v>12</v>
      </c>
      <c r="J35" s="14">
        <v>11</v>
      </c>
      <c r="K35" s="14">
        <v>22</v>
      </c>
      <c r="L35" s="14">
        <v>22</v>
      </c>
      <c r="M35" s="14">
        <v>22</v>
      </c>
      <c r="N35" s="14">
        <v>13</v>
      </c>
      <c r="O35" s="14">
        <v>13</v>
      </c>
      <c r="P35" s="14">
        <v>11</v>
      </c>
    </row>
    <row r="36" spans="1:16" x14ac:dyDescent="0.2">
      <c r="A36" s="19" t="s">
        <v>20</v>
      </c>
      <c r="B36" s="22">
        <v>4</v>
      </c>
      <c r="C36" s="27">
        <v>4</v>
      </c>
      <c r="D36" s="27">
        <v>5</v>
      </c>
      <c r="E36" s="22">
        <v>4</v>
      </c>
      <c r="F36" s="27">
        <v>4</v>
      </c>
      <c r="G36" s="27">
        <v>5</v>
      </c>
      <c r="H36" s="22">
        <v>4</v>
      </c>
      <c r="I36" s="27">
        <v>4</v>
      </c>
      <c r="J36" s="27">
        <v>5</v>
      </c>
      <c r="K36" s="22">
        <v>4</v>
      </c>
      <c r="L36" s="27">
        <v>44</v>
      </c>
      <c r="M36" s="27">
        <v>5</v>
      </c>
      <c r="N36" s="22">
        <v>4</v>
      </c>
      <c r="O36" s="27">
        <v>4</v>
      </c>
      <c r="P36" s="27">
        <v>5</v>
      </c>
    </row>
    <row r="37" spans="1:16" x14ac:dyDescent="0.2">
      <c r="A37" s="20" t="s">
        <v>22</v>
      </c>
      <c r="B37" s="23">
        <f t="shared" ref="B37:M37" si="0">SUM(B33:B35)</f>
        <v>22</v>
      </c>
      <c r="C37" s="23">
        <f t="shared" si="0"/>
        <v>22</v>
      </c>
      <c r="D37" s="23">
        <f t="shared" si="0"/>
        <v>21</v>
      </c>
      <c r="E37" s="23">
        <f t="shared" si="0"/>
        <v>22</v>
      </c>
      <c r="F37" s="23">
        <f t="shared" si="0"/>
        <v>22</v>
      </c>
      <c r="G37" s="23">
        <f t="shared" si="0"/>
        <v>21</v>
      </c>
      <c r="H37" s="23">
        <f t="shared" si="0"/>
        <v>22</v>
      </c>
      <c r="I37" s="23">
        <f t="shared" si="0"/>
        <v>22</v>
      </c>
      <c r="J37" s="23">
        <f t="shared" si="0"/>
        <v>21</v>
      </c>
      <c r="K37" s="23">
        <f t="shared" si="0"/>
        <v>22</v>
      </c>
      <c r="L37" s="23">
        <f t="shared" si="0"/>
        <v>22</v>
      </c>
      <c r="M37" s="23">
        <f t="shared" si="0"/>
        <v>22</v>
      </c>
      <c r="N37" s="23">
        <f t="shared" ref="N37:P37" si="1">SUM(N33:N35)</f>
        <v>22</v>
      </c>
      <c r="O37" s="23">
        <f t="shared" si="1"/>
        <v>22</v>
      </c>
      <c r="P37" s="23">
        <f t="shared" si="1"/>
        <v>21</v>
      </c>
    </row>
    <row r="38" spans="1:16" s="46" customFormat="1" x14ac:dyDescent="0.2">
      <c r="A38" s="45" t="s">
        <v>27</v>
      </c>
      <c r="B38" s="118">
        <f>SUM(B33:D33)/SUM(B37:D37)</f>
        <v>0.8</v>
      </c>
      <c r="C38" s="118"/>
      <c r="D38" s="118"/>
      <c r="E38" s="118">
        <f>SUM(E33:G33)/SUM(E37:G37)</f>
        <v>0.41538461538461541</v>
      </c>
      <c r="F38" s="118"/>
      <c r="G38" s="118"/>
      <c r="H38" s="118">
        <f>SUM(H33:J33)/SUM(H37:J37)</f>
        <v>9.2307692307692313E-2</v>
      </c>
      <c r="I38" s="118"/>
      <c r="J38" s="118"/>
      <c r="K38" s="118">
        <f>SUM(K32,L32,M32,M33,L33,K33)/SUM(K36,L36,M36)</f>
        <v>0</v>
      </c>
      <c r="L38" s="118"/>
      <c r="M38" s="118"/>
      <c r="N38" s="118">
        <f>SUM(N33:P33)/SUM(N37:P37)</f>
        <v>0.26153846153846155</v>
      </c>
      <c r="O38" s="118"/>
      <c r="P38" s="118"/>
    </row>
    <row r="39" spans="1:16" s="46" customFormat="1" x14ac:dyDescent="0.2">
      <c r="A39" s="47" t="s">
        <v>28</v>
      </c>
      <c r="B39" s="119">
        <f>SUM(B33,C33,D33,D34,C34,B34)/SUM(B37,C37,D37)</f>
        <v>0.86153846153846159</v>
      </c>
      <c r="C39" s="119"/>
      <c r="D39" s="119"/>
      <c r="E39" s="119">
        <f>SUM(E33,F33,G33,G34,F34,E34)/SUM(E37,F37,G37)</f>
        <v>0.76923076923076927</v>
      </c>
      <c r="F39" s="119"/>
      <c r="G39" s="119"/>
      <c r="H39" s="119">
        <f>SUM(H33,I33,J33,J34,I34,H34)/SUM(H37,I37,J37)</f>
        <v>0.49230769230769234</v>
      </c>
      <c r="I39" s="119"/>
      <c r="J39" s="119"/>
      <c r="K39" s="119">
        <f>SUM(K33,L33,M33,M34,L34,K34)/SUM(K37,L37,M37)</f>
        <v>0</v>
      </c>
      <c r="L39" s="119"/>
      <c r="M39" s="119"/>
      <c r="N39" s="119">
        <f>SUM(N33,O33,P33,P34,O34,N34)/SUM(N37,O37,P37)</f>
        <v>0.43076923076923079</v>
      </c>
      <c r="O39" s="119"/>
      <c r="P39" s="119"/>
    </row>
    <row r="40" spans="1:16" x14ac:dyDescent="0.2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</row>
    <row r="41" spans="1:16" x14ac:dyDescent="0.2">
      <c r="A41" s="120"/>
      <c r="B41" s="120"/>
      <c r="C41" s="120"/>
      <c r="D41" s="120"/>
      <c r="E41" s="120"/>
    </row>
    <row r="42" spans="1:16" x14ac:dyDescent="0.2">
      <c r="A42" s="120"/>
      <c r="B42" s="120"/>
      <c r="C42" s="120"/>
      <c r="D42" s="120"/>
      <c r="E42" s="120"/>
    </row>
    <row r="43" spans="1:16" x14ac:dyDescent="0.2">
      <c r="A43" s="6"/>
      <c r="B43" s="6"/>
      <c r="C43" s="6"/>
      <c r="D43" s="6"/>
      <c r="E43" s="4"/>
    </row>
    <row r="44" spans="1:16" x14ac:dyDescent="0.2">
      <c r="A44" s="6"/>
      <c r="B44" s="6"/>
      <c r="C44" s="6"/>
      <c r="D44" s="6"/>
      <c r="E44" s="4"/>
    </row>
    <row r="45" spans="1:16" ht="15" customHeight="1" x14ac:dyDescent="0.2">
      <c r="A45" s="6"/>
      <c r="B45" s="6"/>
      <c r="C45" s="6"/>
      <c r="D45" s="6"/>
    </row>
    <row r="46" spans="1:16" s="29" customFormat="1" x14ac:dyDescent="0.2"/>
    <row r="47" spans="1:16" s="30" customFormat="1" x14ac:dyDescent="0.2"/>
  </sheetData>
  <mergeCells count="85">
    <mergeCell ref="H24:J24"/>
    <mergeCell ref="H27:I27"/>
    <mergeCell ref="K18:M18"/>
    <mergeCell ref="K29:M29"/>
    <mergeCell ref="H4:J4"/>
    <mergeCell ref="H5:J5"/>
    <mergeCell ref="H6:J6"/>
    <mergeCell ref="H8:J8"/>
    <mergeCell ref="H9:J9"/>
    <mergeCell ref="H10:J10"/>
    <mergeCell ref="H11:J11"/>
    <mergeCell ref="H12:J12"/>
    <mergeCell ref="H16:J16"/>
    <mergeCell ref="H17:J17"/>
    <mergeCell ref="H19:J19"/>
    <mergeCell ref="K24:M24"/>
    <mergeCell ref="K26:M26"/>
    <mergeCell ref="K27:M27"/>
    <mergeCell ref="K28:M28"/>
    <mergeCell ref="K19:M19"/>
    <mergeCell ref="K20:M20"/>
    <mergeCell ref="K21:M21"/>
    <mergeCell ref="K22:M22"/>
    <mergeCell ref="K23:M23"/>
    <mergeCell ref="N29:P29"/>
    <mergeCell ref="K4:M4"/>
    <mergeCell ref="K5:M5"/>
    <mergeCell ref="K8:M8"/>
    <mergeCell ref="K6:M6"/>
    <mergeCell ref="K7:M7"/>
    <mergeCell ref="K10:M10"/>
    <mergeCell ref="K9:M9"/>
    <mergeCell ref="K11:M11"/>
    <mergeCell ref="K12:M12"/>
    <mergeCell ref="K13:M13"/>
    <mergeCell ref="K14:M14"/>
    <mergeCell ref="K15:M15"/>
    <mergeCell ref="K16:M16"/>
    <mergeCell ref="K17:M17"/>
    <mergeCell ref="K25:M25"/>
    <mergeCell ref="N24:P24"/>
    <mergeCell ref="N25:P25"/>
    <mergeCell ref="N26:P26"/>
    <mergeCell ref="N27:O27"/>
    <mergeCell ref="N28:P28"/>
    <mergeCell ref="E4:G4"/>
    <mergeCell ref="E9:G9"/>
    <mergeCell ref="E14:G14"/>
    <mergeCell ref="E17:G17"/>
    <mergeCell ref="A31:P31"/>
    <mergeCell ref="N7:P7"/>
    <mergeCell ref="N8:P8"/>
    <mergeCell ref="N9:P9"/>
    <mergeCell ref="N10:P10"/>
    <mergeCell ref="N11:P11"/>
    <mergeCell ref="N14:O14"/>
    <mergeCell ref="N15:P15"/>
    <mergeCell ref="N16:P16"/>
    <mergeCell ref="N17:P17"/>
    <mergeCell ref="N18:P18"/>
    <mergeCell ref="N19:P19"/>
    <mergeCell ref="N32:P32"/>
    <mergeCell ref="N38:P38"/>
    <mergeCell ref="N39:P39"/>
    <mergeCell ref="A1:A3"/>
    <mergeCell ref="B1:P1"/>
    <mergeCell ref="B2:D2"/>
    <mergeCell ref="E2:G2"/>
    <mergeCell ref="H2:J2"/>
    <mergeCell ref="K2:M2"/>
    <mergeCell ref="N2:P2"/>
    <mergeCell ref="B32:D32"/>
    <mergeCell ref="E32:G32"/>
    <mergeCell ref="H32:J32"/>
    <mergeCell ref="K32:M32"/>
    <mergeCell ref="K39:M39"/>
    <mergeCell ref="K38:M38"/>
    <mergeCell ref="H38:J38"/>
    <mergeCell ref="H39:J39"/>
    <mergeCell ref="A42:E42"/>
    <mergeCell ref="A41:E41"/>
    <mergeCell ref="B38:D38"/>
    <mergeCell ref="B39:D39"/>
    <mergeCell ref="E38:G38"/>
    <mergeCell ref="E39:G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CEB2-C3D8-D545-89AD-0002029F9000}">
  <dimension ref="A1:P43"/>
  <sheetViews>
    <sheetView zoomScale="125" zoomScaleNormal="160" workbookViewId="0">
      <selection activeCell="E41" sqref="E41:G41"/>
    </sheetView>
  </sheetViews>
  <sheetFormatPr baseColWidth="10" defaultRowHeight="16" x14ac:dyDescent="0.2"/>
  <cols>
    <col min="1" max="1" width="11.6640625" style="1" customWidth="1"/>
    <col min="2" max="9" width="15.83203125" style="1" customWidth="1"/>
    <col min="10" max="10" width="15.6640625" style="1" customWidth="1"/>
    <col min="11" max="15" width="15.83203125" style="1" customWidth="1"/>
    <col min="16" max="16" width="15.6640625" style="1" customWidth="1"/>
  </cols>
  <sheetData>
    <row r="1" spans="1:16" x14ac:dyDescent="0.2">
      <c r="A1" s="124" t="s">
        <v>4</v>
      </c>
      <c r="B1" s="194" t="s">
        <v>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2" spans="1:16" s="25" customFormat="1" x14ac:dyDescent="0.2">
      <c r="A2" s="125"/>
      <c r="B2" s="195" t="s">
        <v>3</v>
      </c>
      <c r="C2" s="128"/>
      <c r="D2" s="128"/>
      <c r="E2" s="128" t="s">
        <v>29</v>
      </c>
      <c r="F2" s="128"/>
      <c r="G2" s="128"/>
      <c r="H2" s="128" t="s">
        <v>2</v>
      </c>
      <c r="I2" s="128"/>
      <c r="J2" s="128"/>
      <c r="K2" s="128" t="s">
        <v>1</v>
      </c>
      <c r="L2" s="128"/>
      <c r="M2" s="128"/>
      <c r="N2" s="128" t="s">
        <v>0</v>
      </c>
      <c r="O2" s="128"/>
      <c r="P2" s="128"/>
    </row>
    <row r="3" spans="1:16" x14ac:dyDescent="0.2">
      <c r="A3" s="125"/>
      <c r="B3" s="7" t="s">
        <v>15</v>
      </c>
      <c r="C3" s="7" t="s">
        <v>14</v>
      </c>
      <c r="D3" s="7" t="s">
        <v>16</v>
      </c>
      <c r="E3" s="7" t="s">
        <v>15</v>
      </c>
      <c r="F3" s="7" t="s">
        <v>14</v>
      </c>
      <c r="G3" s="7" t="s">
        <v>16</v>
      </c>
      <c r="H3" s="7" t="s">
        <v>15</v>
      </c>
      <c r="I3" s="7" t="s">
        <v>14</v>
      </c>
      <c r="J3" s="7" t="s">
        <v>16</v>
      </c>
      <c r="K3" s="7" t="s">
        <v>15</v>
      </c>
      <c r="L3" s="7" t="s">
        <v>14</v>
      </c>
      <c r="M3" s="7" t="s">
        <v>16</v>
      </c>
      <c r="N3" s="49" t="s">
        <v>15</v>
      </c>
      <c r="O3" s="8" t="s">
        <v>14</v>
      </c>
      <c r="P3" s="8" t="s">
        <v>16</v>
      </c>
    </row>
    <row r="4" spans="1:16" x14ac:dyDescent="0.2">
      <c r="A4" s="10">
        <v>1</v>
      </c>
      <c r="B4" s="56" t="s">
        <v>34</v>
      </c>
      <c r="C4" s="59" t="s">
        <v>268</v>
      </c>
      <c r="D4" s="56" t="s">
        <v>34</v>
      </c>
      <c r="E4" s="57" t="s">
        <v>35</v>
      </c>
      <c r="F4" s="56" t="s">
        <v>34</v>
      </c>
      <c r="G4" s="59" t="s">
        <v>43</v>
      </c>
      <c r="H4" s="219" t="s">
        <v>180</v>
      </c>
      <c r="I4" s="220"/>
      <c r="J4" s="221"/>
      <c r="K4" s="169" t="s">
        <v>167</v>
      </c>
      <c r="L4" s="170"/>
      <c r="M4" s="171"/>
      <c r="N4" s="196" t="s">
        <v>117</v>
      </c>
      <c r="O4" s="197"/>
      <c r="P4" s="198"/>
    </row>
    <row r="5" spans="1:16" x14ac:dyDescent="0.2">
      <c r="A5" s="9">
        <v>2</v>
      </c>
      <c r="B5" s="59" t="s">
        <v>269</v>
      </c>
      <c r="C5" s="59" t="s">
        <v>270</v>
      </c>
      <c r="D5" s="59" t="s">
        <v>271</v>
      </c>
      <c r="E5" s="51" t="s">
        <v>38</v>
      </c>
      <c r="F5" s="58" t="s">
        <v>36</v>
      </c>
      <c r="G5" s="58" t="s">
        <v>37</v>
      </c>
      <c r="H5" s="222" t="s">
        <v>181</v>
      </c>
      <c r="I5" s="223"/>
      <c r="J5" s="224"/>
      <c r="K5" s="169" t="s">
        <v>167</v>
      </c>
      <c r="L5" s="170"/>
      <c r="M5" s="171"/>
      <c r="N5" s="196" t="s">
        <v>118</v>
      </c>
      <c r="O5" s="197"/>
      <c r="P5" s="198"/>
    </row>
    <row r="6" spans="1:16" x14ac:dyDescent="0.2">
      <c r="A6" s="9">
        <v>3</v>
      </c>
      <c r="B6" s="59" t="s">
        <v>272</v>
      </c>
      <c r="C6" s="59" t="s">
        <v>270</v>
      </c>
      <c r="D6" s="59" t="s">
        <v>273</v>
      </c>
      <c r="E6" s="51" t="s">
        <v>39</v>
      </c>
      <c r="F6" s="51" t="s">
        <v>39</v>
      </c>
      <c r="G6" s="51" t="s">
        <v>40</v>
      </c>
      <c r="H6" s="225" t="s">
        <v>182</v>
      </c>
      <c r="I6" s="226"/>
      <c r="J6" s="227"/>
      <c r="K6" s="216" t="s">
        <v>57</v>
      </c>
      <c r="L6" s="217"/>
      <c r="M6" s="218"/>
      <c r="N6" s="161" t="s">
        <v>9</v>
      </c>
      <c r="O6" s="184"/>
      <c r="P6" s="185"/>
    </row>
    <row r="7" spans="1:16" x14ac:dyDescent="0.2">
      <c r="A7" s="9">
        <v>4</v>
      </c>
      <c r="B7" s="59" t="s">
        <v>272</v>
      </c>
      <c r="C7" s="59" t="s">
        <v>270</v>
      </c>
      <c r="D7" s="59" t="s">
        <v>271</v>
      </c>
      <c r="E7" s="56" t="s">
        <v>34</v>
      </c>
      <c r="F7" s="56" t="s">
        <v>41</v>
      </c>
      <c r="G7" s="56" t="s">
        <v>42</v>
      </c>
      <c r="H7" s="83" t="s">
        <v>185</v>
      </c>
      <c r="I7" s="80" t="s">
        <v>184</v>
      </c>
      <c r="J7" s="80" t="s">
        <v>183</v>
      </c>
      <c r="K7" s="216" t="s">
        <v>57</v>
      </c>
      <c r="L7" s="217"/>
      <c r="M7" s="218"/>
      <c r="N7" s="202" t="s">
        <v>119</v>
      </c>
      <c r="O7" s="203"/>
      <c r="P7" s="204"/>
    </row>
    <row r="8" spans="1:16" x14ac:dyDescent="0.2">
      <c r="A8" s="9">
        <v>5</v>
      </c>
      <c r="B8" s="59" t="s">
        <v>272</v>
      </c>
      <c r="C8" s="59" t="s">
        <v>270</v>
      </c>
      <c r="D8" s="59" t="s">
        <v>271</v>
      </c>
      <c r="E8" s="56" t="s">
        <v>34</v>
      </c>
      <c r="F8" s="56" t="s">
        <v>34</v>
      </c>
      <c r="G8" s="59" t="s">
        <v>52</v>
      </c>
      <c r="H8" s="76" t="s">
        <v>186</v>
      </c>
      <c r="I8" s="225" t="s">
        <v>187</v>
      </c>
      <c r="J8" s="227"/>
      <c r="K8" s="169" t="s">
        <v>167</v>
      </c>
      <c r="L8" s="170"/>
      <c r="M8" s="171"/>
      <c r="N8" s="199" t="s">
        <v>120</v>
      </c>
      <c r="O8" s="200"/>
      <c r="P8" s="201"/>
    </row>
    <row r="9" spans="1:16" x14ac:dyDescent="0.2">
      <c r="A9" s="9">
        <v>6</v>
      </c>
      <c r="B9" s="56" t="s">
        <v>34</v>
      </c>
      <c r="C9" s="56" t="s">
        <v>34</v>
      </c>
      <c r="D9" s="56" t="s">
        <v>34</v>
      </c>
      <c r="E9" s="52" t="s">
        <v>44</v>
      </c>
      <c r="F9" s="56" t="s">
        <v>34</v>
      </c>
      <c r="G9" s="56" t="s">
        <v>45</v>
      </c>
      <c r="H9" s="85" t="s">
        <v>188</v>
      </c>
      <c r="I9" s="53" t="s">
        <v>189</v>
      </c>
      <c r="J9" s="85" t="s">
        <v>188</v>
      </c>
      <c r="K9" s="216" t="s">
        <v>57</v>
      </c>
      <c r="L9" s="217"/>
      <c r="M9" s="218"/>
      <c r="N9" s="205" t="s">
        <v>122</v>
      </c>
      <c r="O9" s="206"/>
      <c r="P9" s="207"/>
    </row>
    <row r="10" spans="1:16" x14ac:dyDescent="0.2">
      <c r="A10" s="9">
        <v>7</v>
      </c>
      <c r="B10" s="52" t="s">
        <v>248</v>
      </c>
      <c r="C10" s="56" t="s">
        <v>34</v>
      </c>
      <c r="D10" s="56" t="s">
        <v>34</v>
      </c>
      <c r="E10" s="52" t="s">
        <v>46</v>
      </c>
      <c r="F10" s="52" t="s">
        <v>47</v>
      </c>
      <c r="G10" s="52" t="s">
        <v>48</v>
      </c>
      <c r="H10" s="52" t="s">
        <v>190</v>
      </c>
      <c r="I10" s="52" t="s">
        <v>171</v>
      </c>
      <c r="J10" s="84" t="s">
        <v>171</v>
      </c>
      <c r="K10" s="216" t="s">
        <v>57</v>
      </c>
      <c r="L10" s="217"/>
      <c r="M10" s="218"/>
      <c r="N10" s="196" t="s">
        <v>118</v>
      </c>
      <c r="O10" s="197"/>
      <c r="P10" s="198"/>
    </row>
    <row r="11" spans="1:16" x14ac:dyDescent="0.2">
      <c r="A11" s="9">
        <v>8</v>
      </c>
      <c r="B11" s="56" t="s">
        <v>34</v>
      </c>
      <c r="C11" s="56" t="s">
        <v>34</v>
      </c>
      <c r="D11" s="56" t="s">
        <v>34</v>
      </c>
      <c r="E11" s="60" t="s">
        <v>49</v>
      </c>
      <c r="F11" s="56" t="s">
        <v>34</v>
      </c>
      <c r="G11" s="56" t="s">
        <v>34</v>
      </c>
      <c r="H11" s="52" t="s">
        <v>191</v>
      </c>
      <c r="I11" s="85" t="s">
        <v>188</v>
      </c>
      <c r="J11" s="85" t="s">
        <v>188</v>
      </c>
      <c r="K11" s="216" t="s">
        <v>57</v>
      </c>
      <c r="L11" s="217"/>
      <c r="M11" s="218"/>
      <c r="N11" s="196" t="s">
        <v>121</v>
      </c>
      <c r="O11" s="197"/>
      <c r="P11" s="198"/>
    </row>
    <row r="12" spans="1:16" x14ac:dyDescent="0.2">
      <c r="A12" s="9">
        <v>9</v>
      </c>
      <c r="B12" s="56" t="s">
        <v>34</v>
      </c>
      <c r="C12" s="56" t="s">
        <v>34</v>
      </c>
      <c r="D12" s="56" t="s">
        <v>34</v>
      </c>
      <c r="E12" s="56" t="s">
        <v>34</v>
      </c>
      <c r="F12" s="56" t="s">
        <v>34</v>
      </c>
      <c r="G12" s="59" t="s">
        <v>52</v>
      </c>
      <c r="H12" s="52" t="s">
        <v>190</v>
      </c>
      <c r="I12" s="87" t="s">
        <v>193</v>
      </c>
      <c r="J12" s="87" t="s">
        <v>193</v>
      </c>
      <c r="K12" s="216" t="s">
        <v>57</v>
      </c>
      <c r="L12" s="217"/>
      <c r="M12" s="218"/>
      <c r="N12" s="205" t="s">
        <v>57</v>
      </c>
      <c r="O12" s="206"/>
      <c r="P12" s="207"/>
    </row>
    <row r="13" spans="1:16" x14ac:dyDescent="0.2">
      <c r="A13" s="9">
        <v>10</v>
      </c>
      <c r="B13" s="56" t="s">
        <v>34</v>
      </c>
      <c r="C13" s="56" t="s">
        <v>34</v>
      </c>
      <c r="D13" s="56" t="s">
        <v>34</v>
      </c>
      <c r="E13" s="161" t="s">
        <v>9</v>
      </c>
      <c r="F13" s="184"/>
      <c r="G13" s="185"/>
      <c r="H13" s="52" t="s">
        <v>194</v>
      </c>
      <c r="I13" s="67" t="s">
        <v>195</v>
      </c>
      <c r="J13" s="52" t="s">
        <v>194</v>
      </c>
      <c r="K13" s="216" t="s">
        <v>57</v>
      </c>
      <c r="L13" s="217"/>
      <c r="M13" s="218"/>
      <c r="N13" s="196" t="s">
        <v>123</v>
      </c>
      <c r="O13" s="197"/>
      <c r="P13" s="198"/>
    </row>
    <row r="14" spans="1:16" x14ac:dyDescent="0.2">
      <c r="A14" s="9">
        <v>11</v>
      </c>
      <c r="B14" s="178" t="s">
        <v>269</v>
      </c>
      <c r="C14" s="179"/>
      <c r="D14" s="180"/>
      <c r="E14" s="56" t="s">
        <v>34</v>
      </c>
      <c r="F14" s="59" t="s">
        <v>50</v>
      </c>
      <c r="G14" s="56" t="s">
        <v>34</v>
      </c>
      <c r="H14" s="52" t="s">
        <v>171</v>
      </c>
      <c r="I14" s="169" t="s">
        <v>196</v>
      </c>
      <c r="J14" s="171"/>
      <c r="K14" s="216" t="s">
        <v>57</v>
      </c>
      <c r="L14" s="217"/>
      <c r="M14" s="218"/>
      <c r="N14" s="196" t="s">
        <v>118</v>
      </c>
      <c r="O14" s="197"/>
      <c r="P14" s="198"/>
    </row>
    <row r="15" spans="1:16" x14ac:dyDescent="0.2">
      <c r="A15" s="9">
        <v>12</v>
      </c>
      <c r="B15" s="59" t="s">
        <v>274</v>
      </c>
      <c r="C15" s="59" t="s">
        <v>275</v>
      </c>
      <c r="D15" s="59" t="s">
        <v>271</v>
      </c>
      <c r="E15" s="56" t="s">
        <v>34</v>
      </c>
      <c r="F15" s="59" t="s">
        <v>51</v>
      </c>
      <c r="G15" s="59" t="s">
        <v>52</v>
      </c>
      <c r="H15" s="52" t="s">
        <v>190</v>
      </c>
      <c r="I15" s="87" t="s">
        <v>193</v>
      </c>
      <c r="J15" s="87" t="s">
        <v>193</v>
      </c>
      <c r="K15" s="216" t="s">
        <v>57</v>
      </c>
      <c r="L15" s="217"/>
      <c r="M15" s="218"/>
      <c r="N15" s="196" t="s">
        <v>124</v>
      </c>
      <c r="O15" s="197"/>
      <c r="P15" s="198"/>
    </row>
    <row r="16" spans="1:16" x14ac:dyDescent="0.2">
      <c r="A16" s="9">
        <v>13</v>
      </c>
      <c r="B16" s="56" t="s">
        <v>34</v>
      </c>
      <c r="C16" s="56" t="s">
        <v>34</v>
      </c>
      <c r="D16" s="56" t="s">
        <v>34</v>
      </c>
      <c r="E16" s="56" t="s">
        <v>34</v>
      </c>
      <c r="F16" s="56" t="s">
        <v>34</v>
      </c>
      <c r="G16" s="56" t="s">
        <v>34</v>
      </c>
      <c r="H16" s="76" t="s">
        <v>198</v>
      </c>
      <c r="I16" s="76" t="s">
        <v>197</v>
      </c>
      <c r="J16" s="76" t="s">
        <v>199</v>
      </c>
      <c r="K16" s="216" t="s">
        <v>57</v>
      </c>
      <c r="L16" s="217"/>
      <c r="M16" s="218"/>
      <c r="N16" s="196" t="s">
        <v>125</v>
      </c>
      <c r="O16" s="197"/>
      <c r="P16" s="198"/>
    </row>
    <row r="17" spans="1:16" x14ac:dyDescent="0.2">
      <c r="A17" s="9">
        <v>14</v>
      </c>
      <c r="B17" s="56" t="s">
        <v>34</v>
      </c>
      <c r="C17" s="56" t="s">
        <v>34</v>
      </c>
      <c r="D17" s="56" t="s">
        <v>34</v>
      </c>
      <c r="E17" s="161" t="s">
        <v>9</v>
      </c>
      <c r="F17" s="184"/>
      <c r="G17" s="185"/>
      <c r="H17" s="161" t="s">
        <v>200</v>
      </c>
      <c r="I17" s="184"/>
      <c r="J17" s="185"/>
      <c r="K17" s="169" t="s">
        <v>167</v>
      </c>
      <c r="L17" s="170"/>
      <c r="M17" s="171"/>
      <c r="N17" s="208" t="s">
        <v>65</v>
      </c>
      <c r="O17" s="209"/>
      <c r="P17" s="210"/>
    </row>
    <row r="18" spans="1:16" x14ac:dyDescent="0.2">
      <c r="A18" s="9">
        <v>15</v>
      </c>
      <c r="B18" s="56" t="s">
        <v>34</v>
      </c>
      <c r="C18" s="56" t="s">
        <v>276</v>
      </c>
      <c r="D18" s="56" t="s">
        <v>34</v>
      </c>
      <c r="E18" s="189" t="s">
        <v>53</v>
      </c>
      <c r="F18" s="190"/>
      <c r="G18" s="191"/>
      <c r="H18" s="80" t="s">
        <v>201</v>
      </c>
      <c r="I18" s="81"/>
      <c r="J18" s="82"/>
      <c r="K18" s="216" t="s">
        <v>57</v>
      </c>
      <c r="L18" s="217"/>
      <c r="M18" s="218"/>
      <c r="N18" s="211" t="s">
        <v>126</v>
      </c>
      <c r="O18" s="212"/>
      <c r="P18" s="213"/>
    </row>
    <row r="19" spans="1:16" x14ac:dyDescent="0.2">
      <c r="A19" s="9">
        <v>16</v>
      </c>
      <c r="B19" s="56" t="s">
        <v>34</v>
      </c>
      <c r="C19" s="56" t="s">
        <v>34</v>
      </c>
      <c r="D19" s="56" t="s">
        <v>34</v>
      </c>
      <c r="E19" s="161" t="s">
        <v>9</v>
      </c>
      <c r="F19" s="184"/>
      <c r="G19" s="185"/>
      <c r="H19" s="228" t="s">
        <v>202</v>
      </c>
      <c r="I19" s="229"/>
      <c r="J19" s="230"/>
      <c r="K19" s="216" t="s">
        <v>57</v>
      </c>
      <c r="L19" s="217"/>
      <c r="M19" s="218"/>
      <c r="N19" s="196" t="s">
        <v>127</v>
      </c>
      <c r="O19" s="197"/>
      <c r="P19" s="198"/>
    </row>
    <row r="20" spans="1:16" x14ac:dyDescent="0.2">
      <c r="A20" s="9">
        <v>17</v>
      </c>
      <c r="B20" s="59" t="s">
        <v>272</v>
      </c>
      <c r="C20" s="59" t="s">
        <v>270</v>
      </c>
      <c r="D20" s="59" t="s">
        <v>271</v>
      </c>
      <c r="E20" s="189" t="s">
        <v>54</v>
      </c>
      <c r="F20" s="190"/>
      <c r="G20" s="191"/>
      <c r="H20" s="169" t="s">
        <v>203</v>
      </c>
      <c r="I20" s="170"/>
      <c r="J20" s="171"/>
      <c r="K20" s="216" t="s">
        <v>57</v>
      </c>
      <c r="L20" s="217"/>
      <c r="M20" s="218"/>
      <c r="N20" s="211" t="s">
        <v>126</v>
      </c>
      <c r="O20" s="212"/>
      <c r="P20" s="213"/>
    </row>
    <row r="21" spans="1:16" x14ac:dyDescent="0.2">
      <c r="A21" s="9">
        <v>18</v>
      </c>
      <c r="B21" s="59" t="s">
        <v>272</v>
      </c>
      <c r="C21" s="59" t="s">
        <v>270</v>
      </c>
      <c r="D21" s="59" t="s">
        <v>277</v>
      </c>
      <c r="E21" s="51" t="s">
        <v>36</v>
      </c>
      <c r="F21" s="51" t="s">
        <v>36</v>
      </c>
      <c r="G21" s="51" t="s">
        <v>55</v>
      </c>
      <c r="H21" s="85" t="s">
        <v>188</v>
      </c>
      <c r="I21" s="231" t="s">
        <v>204</v>
      </c>
      <c r="J21" s="171"/>
      <c r="K21" s="216" t="s">
        <v>57</v>
      </c>
      <c r="L21" s="217"/>
      <c r="M21" s="218"/>
      <c r="N21" s="54" t="s">
        <v>129</v>
      </c>
      <c r="O21" s="214" t="s">
        <v>128</v>
      </c>
      <c r="P21" s="215"/>
    </row>
    <row r="22" spans="1:16" x14ac:dyDescent="0.2">
      <c r="A22" s="9">
        <v>19</v>
      </c>
      <c r="B22" s="59" t="s">
        <v>269</v>
      </c>
      <c r="C22" s="59" t="s">
        <v>270</v>
      </c>
      <c r="D22" s="59" t="s">
        <v>271</v>
      </c>
      <c r="E22" s="52" t="s">
        <v>56</v>
      </c>
      <c r="F22" s="52" t="s">
        <v>31</v>
      </c>
      <c r="G22" s="52" t="s">
        <v>31</v>
      </c>
      <c r="H22" s="161" t="s">
        <v>200</v>
      </c>
      <c r="I22" s="184"/>
      <c r="J22" s="185"/>
      <c r="K22" s="169" t="s">
        <v>167</v>
      </c>
      <c r="L22" s="170"/>
      <c r="M22" s="171"/>
      <c r="N22" s="196" t="s">
        <v>130</v>
      </c>
      <c r="O22" s="197"/>
      <c r="P22" s="198"/>
    </row>
    <row r="23" spans="1:16" x14ac:dyDescent="0.2">
      <c r="A23" s="9">
        <v>20</v>
      </c>
      <c r="B23" s="56" t="s">
        <v>34</v>
      </c>
      <c r="C23" s="56" t="s">
        <v>34</v>
      </c>
      <c r="D23" s="56" t="s">
        <v>34</v>
      </c>
      <c r="E23" s="181" t="s">
        <v>9</v>
      </c>
      <c r="F23" s="182"/>
      <c r="G23" s="183"/>
      <c r="H23" s="232" t="s">
        <v>205</v>
      </c>
      <c r="I23" s="233"/>
      <c r="J23" s="234"/>
      <c r="K23" s="169" t="s">
        <v>167</v>
      </c>
      <c r="L23" s="170"/>
      <c r="M23" s="171"/>
      <c r="N23" s="54" t="s">
        <v>129</v>
      </c>
      <c r="O23" s="214" t="s">
        <v>128</v>
      </c>
      <c r="P23" s="215"/>
    </row>
    <row r="24" spans="1:16" x14ac:dyDescent="0.2">
      <c r="A24" s="9">
        <v>21</v>
      </c>
      <c r="B24" s="56" t="s">
        <v>34</v>
      </c>
      <c r="C24" s="53" t="s">
        <v>278</v>
      </c>
      <c r="D24" s="56" t="s">
        <v>34</v>
      </c>
      <c r="E24" s="59" t="s">
        <v>58</v>
      </c>
      <c r="F24" s="53" t="s">
        <v>57</v>
      </c>
      <c r="G24" s="59" t="s">
        <v>59</v>
      </c>
      <c r="H24" s="225" t="s">
        <v>206</v>
      </c>
      <c r="I24" s="226"/>
      <c r="J24" s="227"/>
      <c r="K24" s="216" t="s">
        <v>57</v>
      </c>
      <c r="L24" s="217"/>
      <c r="M24" s="218"/>
      <c r="N24" s="50" t="s">
        <v>132</v>
      </c>
      <c r="O24" s="53" t="s">
        <v>131</v>
      </c>
      <c r="P24" s="50" t="s">
        <v>9</v>
      </c>
    </row>
    <row r="25" spans="1:16" x14ac:dyDescent="0.2">
      <c r="A25" s="9">
        <v>22</v>
      </c>
      <c r="B25" s="52" t="s">
        <v>282</v>
      </c>
      <c r="C25" s="52" t="s">
        <v>279</v>
      </c>
      <c r="D25" s="52" t="s">
        <v>281</v>
      </c>
      <c r="E25" s="181" t="s">
        <v>60</v>
      </c>
      <c r="F25" s="182"/>
      <c r="G25" s="183"/>
      <c r="H25" s="161" t="s">
        <v>194</v>
      </c>
      <c r="I25" s="184"/>
      <c r="J25" s="185"/>
      <c r="K25" s="169" t="s">
        <v>167</v>
      </c>
      <c r="L25" s="170"/>
      <c r="M25" s="171"/>
      <c r="N25" s="161" t="s">
        <v>133</v>
      </c>
      <c r="O25" s="184"/>
      <c r="P25" s="162"/>
    </row>
    <row r="26" spans="1:16" x14ac:dyDescent="0.2">
      <c r="A26" s="9">
        <v>23</v>
      </c>
      <c r="B26" s="56" t="s">
        <v>34</v>
      </c>
      <c r="C26" s="53" t="s">
        <v>278</v>
      </c>
      <c r="D26" s="56" t="s">
        <v>34</v>
      </c>
      <c r="E26" s="161" t="s">
        <v>61</v>
      </c>
      <c r="F26" s="184"/>
      <c r="G26" s="185"/>
      <c r="H26" s="85" t="s">
        <v>188</v>
      </c>
      <c r="I26" s="67" t="s">
        <v>208</v>
      </c>
      <c r="J26" s="65" t="s">
        <v>207</v>
      </c>
      <c r="K26" s="169" t="s">
        <v>168</v>
      </c>
      <c r="L26" s="170"/>
      <c r="M26" s="171"/>
      <c r="N26" s="208" t="s">
        <v>65</v>
      </c>
      <c r="O26" s="209"/>
      <c r="P26" s="210"/>
    </row>
    <row r="27" spans="1:16" x14ac:dyDescent="0.2">
      <c r="A27" s="9">
        <v>24</v>
      </c>
      <c r="B27" s="56" t="s">
        <v>34</v>
      </c>
      <c r="C27" s="56" t="s">
        <v>34</v>
      </c>
      <c r="D27" s="56" t="s">
        <v>34</v>
      </c>
      <c r="E27" s="181" t="s">
        <v>9</v>
      </c>
      <c r="F27" s="182"/>
      <c r="G27" s="183"/>
      <c r="H27" s="169" t="s">
        <v>210</v>
      </c>
      <c r="I27" s="170"/>
      <c r="J27" s="171"/>
      <c r="K27" s="216" t="s">
        <v>57</v>
      </c>
      <c r="L27" s="217"/>
      <c r="M27" s="218"/>
      <c r="N27" s="55" t="s">
        <v>129</v>
      </c>
      <c r="O27" s="53" t="s">
        <v>134</v>
      </c>
      <c r="P27" s="55" t="s">
        <v>129</v>
      </c>
    </row>
    <row r="28" spans="1:16" x14ac:dyDescent="0.2">
      <c r="A28" s="9">
        <v>25</v>
      </c>
      <c r="B28" s="52" t="s">
        <v>248</v>
      </c>
      <c r="C28" s="56" t="s">
        <v>34</v>
      </c>
      <c r="D28" s="56" t="s">
        <v>34</v>
      </c>
      <c r="E28" s="56" t="s">
        <v>34</v>
      </c>
      <c r="F28" s="56" t="s">
        <v>34</v>
      </c>
      <c r="G28" s="56" t="s">
        <v>34</v>
      </c>
      <c r="H28" s="235" t="s">
        <v>209</v>
      </c>
      <c r="I28" s="236"/>
      <c r="J28" s="237"/>
      <c r="K28" s="169" t="s">
        <v>167</v>
      </c>
      <c r="L28" s="170"/>
      <c r="M28" s="171"/>
      <c r="N28" s="196" t="s">
        <v>118</v>
      </c>
      <c r="O28" s="197"/>
      <c r="P28" s="198"/>
    </row>
    <row r="29" spans="1:16" x14ac:dyDescent="0.2">
      <c r="A29" s="11">
        <v>26</v>
      </c>
      <c r="B29" s="59" t="s">
        <v>272</v>
      </c>
      <c r="C29" s="59" t="s">
        <v>270</v>
      </c>
      <c r="D29" s="56" t="s">
        <v>34</v>
      </c>
      <c r="E29" s="186" t="s">
        <v>62</v>
      </c>
      <c r="F29" s="187"/>
      <c r="G29" s="188"/>
      <c r="H29" s="52" t="s">
        <v>205</v>
      </c>
      <c r="I29" s="52" t="s">
        <v>205</v>
      </c>
      <c r="J29" s="75" t="s">
        <v>183</v>
      </c>
      <c r="K29" s="216" t="s">
        <v>57</v>
      </c>
      <c r="L29" s="217"/>
      <c r="M29" s="218"/>
      <c r="N29" s="205" t="s">
        <v>135</v>
      </c>
      <c r="O29" s="206"/>
      <c r="P29" s="207"/>
    </row>
    <row r="30" spans="1:1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">
      <c r="A32" s="138" t="s">
        <v>17</v>
      </c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</row>
    <row r="33" spans="1:16" s="25" customFormat="1" x14ac:dyDescent="0.2">
      <c r="A33" s="24"/>
      <c r="B33" s="121" t="s">
        <v>21</v>
      </c>
      <c r="C33" s="122"/>
      <c r="D33" s="123"/>
      <c r="E33" s="121" t="s">
        <v>29</v>
      </c>
      <c r="F33" s="122"/>
      <c r="G33" s="123"/>
      <c r="H33" s="121" t="s">
        <v>2</v>
      </c>
      <c r="I33" s="122"/>
      <c r="J33" s="123"/>
      <c r="K33" s="121" t="s">
        <v>1</v>
      </c>
      <c r="L33" s="122"/>
      <c r="M33" s="123"/>
      <c r="N33" s="121" t="s">
        <v>0</v>
      </c>
      <c r="O33" s="122"/>
      <c r="P33" s="123"/>
    </row>
    <row r="34" spans="1:16" x14ac:dyDescent="0.2">
      <c r="A34" s="12" t="s">
        <v>18</v>
      </c>
      <c r="B34" s="12">
        <v>13</v>
      </c>
      <c r="C34" s="12">
        <v>12</v>
      </c>
      <c r="D34" s="12">
        <v>16</v>
      </c>
      <c r="E34" s="12">
        <v>9</v>
      </c>
      <c r="F34" s="12">
        <v>8</v>
      </c>
      <c r="G34" s="12">
        <v>6</v>
      </c>
      <c r="H34" s="12">
        <v>3</v>
      </c>
      <c r="I34" s="12">
        <v>1</v>
      </c>
      <c r="J34" s="12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</row>
    <row r="35" spans="1:16" x14ac:dyDescent="0.2">
      <c r="A35" s="13" t="s">
        <v>26</v>
      </c>
      <c r="B35" s="13">
        <v>13</v>
      </c>
      <c r="C35" s="13">
        <v>12</v>
      </c>
      <c r="D35" s="13">
        <v>10</v>
      </c>
      <c r="E35" s="13">
        <v>11</v>
      </c>
      <c r="F35" s="13">
        <v>11</v>
      </c>
      <c r="G35" s="13">
        <v>14</v>
      </c>
      <c r="H35" s="13">
        <v>13</v>
      </c>
      <c r="I35" s="13">
        <v>9</v>
      </c>
      <c r="J35" s="13">
        <v>10</v>
      </c>
      <c r="K35" s="13">
        <v>0</v>
      </c>
      <c r="L35" s="13">
        <v>0</v>
      </c>
      <c r="M35" s="13">
        <v>0</v>
      </c>
      <c r="N35" s="13">
        <v>3</v>
      </c>
      <c r="O35" s="13">
        <v>2</v>
      </c>
      <c r="P35" s="13">
        <v>3</v>
      </c>
    </row>
    <row r="36" spans="1:16" x14ac:dyDescent="0.2">
      <c r="A36" s="14" t="s">
        <v>19</v>
      </c>
      <c r="B36" s="14">
        <v>0</v>
      </c>
      <c r="C36" s="14">
        <v>2</v>
      </c>
      <c r="D36" s="14">
        <v>0</v>
      </c>
      <c r="E36" s="14">
        <v>6</v>
      </c>
      <c r="F36" s="14">
        <v>7</v>
      </c>
      <c r="G36" s="14">
        <v>6</v>
      </c>
      <c r="H36" s="14">
        <v>10</v>
      </c>
      <c r="I36" s="14">
        <v>16</v>
      </c>
      <c r="J36" s="14">
        <v>14</v>
      </c>
      <c r="K36" s="14">
        <v>26</v>
      </c>
      <c r="L36" s="14">
        <v>26</v>
      </c>
      <c r="M36" s="14">
        <v>26</v>
      </c>
      <c r="N36" s="14">
        <v>23</v>
      </c>
      <c r="O36" s="14">
        <v>24</v>
      </c>
      <c r="P36" s="14">
        <v>23</v>
      </c>
    </row>
    <row r="37" spans="1:16" x14ac:dyDescent="0.2">
      <c r="A37" s="19" t="s">
        <v>20</v>
      </c>
      <c r="B37" s="27">
        <v>0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</row>
    <row r="38" spans="1:16" x14ac:dyDescent="0.2">
      <c r="A38" s="20" t="s">
        <v>22</v>
      </c>
      <c r="B38" s="23">
        <f t="shared" ref="B38:M38" si="0">SUM(B34:B37)</f>
        <v>26</v>
      </c>
      <c r="C38" s="23">
        <f t="shared" si="0"/>
        <v>26</v>
      </c>
      <c r="D38" s="23">
        <f t="shared" si="0"/>
        <v>26</v>
      </c>
      <c r="E38" s="23">
        <f t="shared" si="0"/>
        <v>26</v>
      </c>
      <c r="F38" s="23">
        <f t="shared" si="0"/>
        <v>26</v>
      </c>
      <c r="G38" s="23">
        <f t="shared" si="0"/>
        <v>26</v>
      </c>
      <c r="H38" s="23">
        <f t="shared" si="0"/>
        <v>26</v>
      </c>
      <c r="I38" s="23">
        <f t="shared" si="0"/>
        <v>26</v>
      </c>
      <c r="J38" s="23">
        <f t="shared" si="0"/>
        <v>26</v>
      </c>
      <c r="K38" s="23">
        <f t="shared" si="0"/>
        <v>26</v>
      </c>
      <c r="L38" s="23">
        <f t="shared" si="0"/>
        <v>26</v>
      </c>
      <c r="M38" s="23">
        <f t="shared" si="0"/>
        <v>26</v>
      </c>
      <c r="N38" s="23">
        <f t="shared" ref="N38" si="1">SUM(N34:N37)</f>
        <v>26</v>
      </c>
      <c r="O38" s="23">
        <f t="shared" ref="O38" si="2">SUM(O34:O37)</f>
        <v>26</v>
      </c>
      <c r="P38" s="23">
        <f t="shared" ref="P38" si="3">SUM(P34:P37)</f>
        <v>26</v>
      </c>
    </row>
    <row r="41" spans="1:16" s="29" customFormat="1" x14ac:dyDescent="0.2">
      <c r="A41" s="45" t="s">
        <v>27</v>
      </c>
      <c r="B41" s="118">
        <f>SUM(B34,C34,D34)/SUM(B38:D38)</f>
        <v>0.52564102564102566</v>
      </c>
      <c r="C41" s="118"/>
      <c r="D41" s="118"/>
      <c r="E41" s="118">
        <f>SUM(E34,F34,G34)/SUM(E38:G38)</f>
        <v>0.29487179487179488</v>
      </c>
      <c r="F41" s="118"/>
      <c r="G41" s="118"/>
      <c r="H41" s="118">
        <f>SUM(H34,I34,J34)/SUM(H38:J38)</f>
        <v>7.6923076923076927E-2</v>
      </c>
      <c r="I41" s="118"/>
      <c r="J41" s="118"/>
      <c r="K41" s="118">
        <f>SUM(K34,L34,M34)/SUM(K38:M38)</f>
        <v>0</v>
      </c>
      <c r="L41" s="118"/>
      <c r="M41" s="118"/>
      <c r="N41" s="118">
        <f>SUM(N34,O34,P34)/SUM(N38:P38)</f>
        <v>0</v>
      </c>
      <c r="O41" s="118"/>
      <c r="P41" s="193"/>
    </row>
    <row r="42" spans="1:16" s="30" customFormat="1" x14ac:dyDescent="0.2">
      <c r="A42" s="47" t="s">
        <v>28</v>
      </c>
      <c r="B42" s="119">
        <f>SUM(B34:D35)/SUM(B38:D38)</f>
        <v>0.97435897435897434</v>
      </c>
      <c r="C42" s="119"/>
      <c r="D42" s="119"/>
      <c r="E42" s="119">
        <f>SUM(E34:G35)/SUM(E38:G38)</f>
        <v>0.75641025641025639</v>
      </c>
      <c r="F42" s="119"/>
      <c r="G42" s="119"/>
      <c r="H42" s="119">
        <f>SUM(H34:J35)/SUM(H38:J38)</f>
        <v>0.48717948717948717</v>
      </c>
      <c r="I42" s="119"/>
      <c r="J42" s="119"/>
      <c r="K42" s="119">
        <f>SUM(K34:M35)/SUM(K38:M38)</f>
        <v>0</v>
      </c>
      <c r="L42" s="119"/>
      <c r="M42" s="119"/>
      <c r="N42" s="119">
        <f>SUM(N34:P35)/SUM(N38:P38)</f>
        <v>0.10256410256410256</v>
      </c>
      <c r="O42" s="119"/>
      <c r="P42" s="192"/>
    </row>
    <row r="43" spans="1:16" x14ac:dyDescent="0.2">
      <c r="H43" s="86" t="s">
        <v>192</v>
      </c>
    </row>
  </sheetData>
  <mergeCells count="99">
    <mergeCell ref="H22:J22"/>
    <mergeCell ref="H23:J23"/>
    <mergeCell ref="H24:J24"/>
    <mergeCell ref="H25:J25"/>
    <mergeCell ref="H28:J28"/>
    <mergeCell ref="H27:J27"/>
    <mergeCell ref="K27:M27"/>
    <mergeCell ref="K28:M28"/>
    <mergeCell ref="K29:M29"/>
    <mergeCell ref="H4:J4"/>
    <mergeCell ref="H5:J5"/>
    <mergeCell ref="H6:J6"/>
    <mergeCell ref="I8:J8"/>
    <mergeCell ref="I14:J14"/>
    <mergeCell ref="H17:J17"/>
    <mergeCell ref="H19:J19"/>
    <mergeCell ref="H20:J20"/>
    <mergeCell ref="I21:J21"/>
    <mergeCell ref="K22:M22"/>
    <mergeCell ref="K23:M23"/>
    <mergeCell ref="K24:M24"/>
    <mergeCell ref="K25:M25"/>
    <mergeCell ref="K26:M26"/>
    <mergeCell ref="K17:M17"/>
    <mergeCell ref="K18:M18"/>
    <mergeCell ref="K19:M19"/>
    <mergeCell ref="K20:M20"/>
    <mergeCell ref="K21:M21"/>
    <mergeCell ref="N26:P26"/>
    <mergeCell ref="N28:P28"/>
    <mergeCell ref="N29:P29"/>
    <mergeCell ref="K4:M4"/>
    <mergeCell ref="K5:M5"/>
    <mergeCell ref="K6:M6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N20:P20"/>
    <mergeCell ref="O21:P21"/>
    <mergeCell ref="N22:P22"/>
    <mergeCell ref="O23:P23"/>
    <mergeCell ref="N25:P25"/>
    <mergeCell ref="N14:P14"/>
    <mergeCell ref="N15:P15"/>
    <mergeCell ref="N16:P16"/>
    <mergeCell ref="N17:P17"/>
    <mergeCell ref="N19:P19"/>
    <mergeCell ref="N18:P18"/>
    <mergeCell ref="N9:P9"/>
    <mergeCell ref="N10:P10"/>
    <mergeCell ref="N11:P11"/>
    <mergeCell ref="N12:P12"/>
    <mergeCell ref="N13:P13"/>
    <mergeCell ref="N4:P4"/>
    <mergeCell ref="N5:P5"/>
    <mergeCell ref="N6:P6"/>
    <mergeCell ref="N8:P8"/>
    <mergeCell ref="N7:P7"/>
    <mergeCell ref="A1:A3"/>
    <mergeCell ref="B1:P1"/>
    <mergeCell ref="B2:D2"/>
    <mergeCell ref="E2:G2"/>
    <mergeCell ref="H2:J2"/>
    <mergeCell ref="K2:M2"/>
    <mergeCell ref="N2:P2"/>
    <mergeCell ref="E33:G33"/>
    <mergeCell ref="H33:J33"/>
    <mergeCell ref="A32:P32"/>
    <mergeCell ref="B42:D42"/>
    <mergeCell ref="B33:D33"/>
    <mergeCell ref="B41:D41"/>
    <mergeCell ref="E42:G42"/>
    <mergeCell ref="H42:J42"/>
    <mergeCell ref="K42:M42"/>
    <mergeCell ref="E41:G41"/>
    <mergeCell ref="H41:J41"/>
    <mergeCell ref="N42:P42"/>
    <mergeCell ref="N33:P33"/>
    <mergeCell ref="N41:P41"/>
    <mergeCell ref="K33:M33"/>
    <mergeCell ref="K41:M41"/>
    <mergeCell ref="E29:G29"/>
    <mergeCell ref="E13:G13"/>
    <mergeCell ref="E17:G17"/>
    <mergeCell ref="E18:G18"/>
    <mergeCell ref="E19:G19"/>
    <mergeCell ref="E20:G20"/>
    <mergeCell ref="B14:D14"/>
    <mergeCell ref="E23:G23"/>
    <mergeCell ref="E25:G25"/>
    <mergeCell ref="E27:G27"/>
    <mergeCell ref="E26:G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BA8A-1596-574F-BB58-7598A3EECCCA}">
  <dimension ref="A1:F39"/>
  <sheetViews>
    <sheetView tabSelected="1" topLeftCell="A4" zoomScale="149" zoomScaleNormal="160" workbookViewId="0">
      <selection activeCell="C38" sqref="C38:C40"/>
    </sheetView>
  </sheetViews>
  <sheetFormatPr baseColWidth="10" defaultRowHeight="16" x14ac:dyDescent="0.2"/>
  <cols>
    <col min="1" max="1" width="12.33203125" style="2" customWidth="1"/>
    <col min="2" max="2" width="15.83203125" style="1" customWidth="1"/>
    <col min="3" max="3" width="15.6640625" style="1" customWidth="1"/>
    <col min="4" max="5" width="15.83203125" style="1" customWidth="1"/>
    <col min="6" max="6" width="15.83203125" style="3" customWidth="1"/>
  </cols>
  <sheetData>
    <row r="1" spans="1:6" x14ac:dyDescent="0.2">
      <c r="A1" s="238" t="s">
        <v>4</v>
      </c>
      <c r="B1" s="239" t="s">
        <v>8</v>
      </c>
      <c r="C1" s="239"/>
      <c r="D1" s="239"/>
      <c r="E1" s="239"/>
      <c r="F1" s="239"/>
    </row>
    <row r="2" spans="1:6" x14ac:dyDescent="0.2">
      <c r="A2" s="238"/>
      <c r="B2" s="28" t="s">
        <v>3</v>
      </c>
      <c r="C2" s="28" t="s">
        <v>29</v>
      </c>
      <c r="D2" s="28" t="s">
        <v>2</v>
      </c>
      <c r="E2" s="28" t="s">
        <v>1</v>
      </c>
      <c r="F2" s="28" t="s">
        <v>0</v>
      </c>
    </row>
    <row r="3" spans="1:6" x14ac:dyDescent="0.2">
      <c r="A3" s="7">
        <v>1</v>
      </c>
      <c r="B3" s="61" t="s">
        <v>34</v>
      </c>
      <c r="C3" s="59" t="s">
        <v>63</v>
      </c>
      <c r="D3" s="58" t="s">
        <v>211</v>
      </c>
      <c r="E3" s="58" t="s">
        <v>57</v>
      </c>
      <c r="F3" s="64" t="s">
        <v>150</v>
      </c>
    </row>
    <row r="4" spans="1:6" x14ac:dyDescent="0.2">
      <c r="A4" s="7">
        <v>2</v>
      </c>
      <c r="B4" s="48" t="s">
        <v>280</v>
      </c>
      <c r="C4" s="48" t="s">
        <v>64</v>
      </c>
      <c r="D4" s="53" t="s">
        <v>212</v>
      </c>
      <c r="E4" s="53" t="s">
        <v>57</v>
      </c>
      <c r="F4" s="65" t="s">
        <v>151</v>
      </c>
    </row>
    <row r="5" spans="1:6" x14ac:dyDescent="0.2">
      <c r="A5" s="7">
        <v>3</v>
      </c>
      <c r="B5" s="61" t="s">
        <v>34</v>
      </c>
      <c r="C5" s="61" t="s">
        <v>34</v>
      </c>
      <c r="D5" s="53" t="s">
        <v>213</v>
      </c>
      <c r="E5" s="53" t="s">
        <v>57</v>
      </c>
      <c r="F5" s="66" t="s">
        <v>34</v>
      </c>
    </row>
    <row r="6" spans="1:6" x14ac:dyDescent="0.2">
      <c r="A6" s="7">
        <v>4</v>
      </c>
      <c r="B6" s="61" t="s">
        <v>34</v>
      </c>
      <c r="C6" s="61" t="s">
        <v>34</v>
      </c>
      <c r="D6" s="53" t="s">
        <v>214</v>
      </c>
      <c r="E6" s="53" t="s">
        <v>57</v>
      </c>
      <c r="F6" s="63" t="s">
        <v>152</v>
      </c>
    </row>
    <row r="7" spans="1:6" x14ac:dyDescent="0.2">
      <c r="A7" s="7">
        <v>5</v>
      </c>
      <c r="B7" s="62" t="s">
        <v>283</v>
      </c>
      <c r="C7" s="62"/>
      <c r="D7" s="62" t="s">
        <v>172</v>
      </c>
      <c r="E7" s="62"/>
      <c r="F7" s="69" t="s">
        <v>57</v>
      </c>
    </row>
    <row r="8" spans="1:6" x14ac:dyDescent="0.2">
      <c r="A8" s="7">
        <v>6</v>
      </c>
      <c r="B8" s="48" t="s">
        <v>285</v>
      </c>
      <c r="C8" s="53" t="s">
        <v>65</v>
      </c>
      <c r="D8" s="53" t="s">
        <v>215</v>
      </c>
      <c r="E8" s="53" t="s">
        <v>169</v>
      </c>
      <c r="F8" s="65" t="s">
        <v>153</v>
      </c>
    </row>
    <row r="9" spans="1:6" x14ac:dyDescent="0.2">
      <c r="A9" s="7">
        <v>7</v>
      </c>
      <c r="B9" s="67" t="s">
        <v>286</v>
      </c>
      <c r="C9" s="48" t="s">
        <v>66</v>
      </c>
      <c r="D9" s="53" t="s">
        <v>216</v>
      </c>
      <c r="E9" s="53" t="s">
        <v>57</v>
      </c>
      <c r="F9" s="65" t="s">
        <v>154</v>
      </c>
    </row>
    <row r="10" spans="1:6" x14ac:dyDescent="0.2">
      <c r="A10" s="7">
        <v>8</v>
      </c>
      <c r="B10" s="48" t="s">
        <v>285</v>
      </c>
      <c r="C10" s="48" t="s">
        <v>67</v>
      </c>
      <c r="D10" s="53" t="s">
        <v>217</v>
      </c>
      <c r="E10" s="53" t="s">
        <v>57</v>
      </c>
      <c r="F10" s="65" t="s">
        <v>155</v>
      </c>
    </row>
    <row r="11" spans="1:6" x14ac:dyDescent="0.2">
      <c r="A11" s="7">
        <v>9</v>
      </c>
      <c r="B11" s="61" t="s">
        <v>34</v>
      </c>
      <c r="C11" s="61" t="s">
        <v>34</v>
      </c>
      <c r="D11" s="61" t="s">
        <v>34</v>
      </c>
      <c r="E11" s="53" t="s">
        <v>57</v>
      </c>
      <c r="F11" s="66" t="s">
        <v>34</v>
      </c>
    </row>
    <row r="12" spans="1:6" x14ac:dyDescent="0.2">
      <c r="A12" s="7">
        <v>10</v>
      </c>
      <c r="B12" s="61" t="s">
        <v>34</v>
      </c>
      <c r="C12" s="61" t="s">
        <v>34</v>
      </c>
      <c r="D12" s="53" t="s">
        <v>218</v>
      </c>
      <c r="E12" s="53" t="s">
        <v>57</v>
      </c>
      <c r="F12" s="66" t="s">
        <v>34</v>
      </c>
    </row>
    <row r="13" spans="1:6" x14ac:dyDescent="0.2">
      <c r="A13" s="7">
        <v>11</v>
      </c>
      <c r="B13" s="52" t="s">
        <v>287</v>
      </c>
      <c r="C13" s="61" t="s">
        <v>34</v>
      </c>
      <c r="D13" s="53" t="s">
        <v>219</v>
      </c>
      <c r="E13" s="53" t="s">
        <v>57</v>
      </c>
      <c r="F13" s="65" t="s">
        <v>156</v>
      </c>
    </row>
    <row r="14" spans="1:6" x14ac:dyDescent="0.2">
      <c r="A14" s="7">
        <v>12</v>
      </c>
      <c r="B14" s="52" t="s">
        <v>288</v>
      </c>
      <c r="C14" s="48" t="s">
        <v>68</v>
      </c>
      <c r="D14" s="53" t="s">
        <v>30</v>
      </c>
      <c r="E14" s="53" t="s">
        <v>169</v>
      </c>
      <c r="F14" s="63" t="s">
        <v>157</v>
      </c>
    </row>
    <row r="15" spans="1:6" x14ac:dyDescent="0.2">
      <c r="A15" s="7">
        <v>13</v>
      </c>
      <c r="B15" s="48" t="s">
        <v>280</v>
      </c>
      <c r="C15" s="48" t="s">
        <v>9</v>
      </c>
      <c r="D15" s="48" t="s">
        <v>9</v>
      </c>
      <c r="E15" s="53" t="s">
        <v>57</v>
      </c>
      <c r="F15" s="65" t="s">
        <v>158</v>
      </c>
    </row>
    <row r="16" spans="1:6" x14ac:dyDescent="0.2">
      <c r="A16" s="7">
        <v>14</v>
      </c>
      <c r="B16" s="68"/>
      <c r="C16" s="62" t="s">
        <v>69</v>
      </c>
      <c r="D16" s="62" t="s">
        <v>91</v>
      </c>
      <c r="E16" s="62" t="s">
        <v>57</v>
      </c>
      <c r="F16" s="69" t="s">
        <v>57</v>
      </c>
    </row>
    <row r="17" spans="1:6" x14ac:dyDescent="0.2">
      <c r="A17" s="7">
        <v>15</v>
      </c>
      <c r="B17" s="68"/>
      <c r="C17" s="62"/>
      <c r="D17" s="62"/>
      <c r="E17" s="62" t="s">
        <v>57</v>
      </c>
      <c r="F17" s="69" t="s">
        <v>57</v>
      </c>
    </row>
    <row r="18" spans="1:6" x14ac:dyDescent="0.2">
      <c r="A18" s="7">
        <v>16</v>
      </c>
      <c r="B18" s="62" t="s">
        <v>280</v>
      </c>
      <c r="C18" s="62" t="s">
        <v>9</v>
      </c>
      <c r="D18" s="62" t="s">
        <v>9</v>
      </c>
      <c r="E18" s="62" t="s">
        <v>57</v>
      </c>
      <c r="F18" s="69" t="s">
        <v>57</v>
      </c>
    </row>
    <row r="19" spans="1:6" x14ac:dyDescent="0.2">
      <c r="A19" s="7">
        <v>17</v>
      </c>
      <c r="B19" s="61" t="s">
        <v>34</v>
      </c>
      <c r="C19" s="61" t="s">
        <v>34</v>
      </c>
      <c r="D19" s="88" t="s">
        <v>220</v>
      </c>
      <c r="E19" s="53" t="s">
        <v>169</v>
      </c>
      <c r="F19" s="63" t="s">
        <v>57</v>
      </c>
    </row>
    <row r="20" spans="1:6" x14ac:dyDescent="0.2">
      <c r="A20" s="7">
        <v>18</v>
      </c>
      <c r="B20" s="61" t="s">
        <v>34</v>
      </c>
      <c r="C20" s="61" t="s">
        <v>34</v>
      </c>
      <c r="D20" s="48" t="s">
        <v>221</v>
      </c>
      <c r="E20" s="53" t="s">
        <v>57</v>
      </c>
      <c r="F20" s="66" t="s">
        <v>34</v>
      </c>
    </row>
    <row r="21" spans="1:6" x14ac:dyDescent="0.2">
      <c r="A21" s="7">
        <v>19</v>
      </c>
      <c r="B21" s="68" t="s">
        <v>289</v>
      </c>
      <c r="C21" s="62" t="s">
        <v>30</v>
      </c>
      <c r="D21" s="62" t="s">
        <v>173</v>
      </c>
      <c r="E21" s="62" t="s">
        <v>57</v>
      </c>
      <c r="F21" s="69" t="s">
        <v>159</v>
      </c>
    </row>
    <row r="22" spans="1:6" x14ac:dyDescent="0.2">
      <c r="A22" s="7">
        <v>20</v>
      </c>
      <c r="B22" s="52" t="s">
        <v>290</v>
      </c>
      <c r="C22" s="53" t="s">
        <v>70</v>
      </c>
      <c r="D22" s="53" t="s">
        <v>174</v>
      </c>
      <c r="E22" s="53" t="s">
        <v>170</v>
      </c>
      <c r="F22" s="65" t="s">
        <v>160</v>
      </c>
    </row>
    <row r="23" spans="1:6" x14ac:dyDescent="0.2">
      <c r="A23" s="7">
        <v>21</v>
      </c>
      <c r="B23" s="61" t="s">
        <v>34</v>
      </c>
      <c r="C23" s="48" t="s">
        <v>71</v>
      </c>
      <c r="D23" s="53" t="s">
        <v>30</v>
      </c>
      <c r="E23" s="53" t="s">
        <v>57</v>
      </c>
      <c r="F23" s="65" t="s">
        <v>161</v>
      </c>
    </row>
    <row r="24" spans="1:6" x14ac:dyDescent="0.2">
      <c r="A24" s="7">
        <v>22</v>
      </c>
      <c r="B24" s="52" t="s">
        <v>291</v>
      </c>
      <c r="C24" s="61" t="s">
        <v>34</v>
      </c>
      <c r="D24" s="53" t="s">
        <v>10</v>
      </c>
      <c r="E24" s="53" t="s">
        <v>169</v>
      </c>
      <c r="F24" s="63" t="s">
        <v>162</v>
      </c>
    </row>
    <row r="25" spans="1:6" x14ac:dyDescent="0.2">
      <c r="A25" s="7">
        <v>23</v>
      </c>
      <c r="B25" s="52" t="s">
        <v>292</v>
      </c>
      <c r="C25" s="53" t="s">
        <v>65</v>
      </c>
      <c r="D25" s="48" t="s">
        <v>9</v>
      </c>
      <c r="E25" s="53" t="s">
        <v>57</v>
      </c>
      <c r="F25" s="63" t="s">
        <v>163</v>
      </c>
    </row>
    <row r="26" spans="1:6" x14ac:dyDescent="0.2">
      <c r="A26" s="7">
        <v>24</v>
      </c>
      <c r="B26" s="67" t="s">
        <v>284</v>
      </c>
      <c r="C26" s="48" t="s">
        <v>72</v>
      </c>
      <c r="D26" s="48" t="s">
        <v>9</v>
      </c>
      <c r="E26" s="53" t="s">
        <v>57</v>
      </c>
      <c r="F26" s="65" t="s">
        <v>164</v>
      </c>
    </row>
    <row r="27" spans="1:6" x14ac:dyDescent="0.2">
      <c r="A27" s="7">
        <v>25</v>
      </c>
      <c r="B27" s="67" t="s">
        <v>293</v>
      </c>
      <c r="C27" s="53" t="s">
        <v>73</v>
      </c>
      <c r="D27" s="53" t="s">
        <v>30</v>
      </c>
      <c r="E27" s="53" t="s">
        <v>57</v>
      </c>
      <c r="F27" s="63" t="s">
        <v>165</v>
      </c>
    </row>
    <row r="28" spans="1:6" x14ac:dyDescent="0.2">
      <c r="A28" s="7">
        <v>26</v>
      </c>
      <c r="B28" s="108" t="s">
        <v>294</v>
      </c>
      <c r="C28" s="107" t="s">
        <v>72</v>
      </c>
      <c r="D28" s="74" t="s">
        <v>91</v>
      </c>
      <c r="E28" s="74" t="s">
        <v>169</v>
      </c>
      <c r="F28" s="75" t="s">
        <v>166</v>
      </c>
    </row>
    <row r="29" spans="1:6" x14ac:dyDescent="0.2">
      <c r="A29"/>
      <c r="B29"/>
      <c r="C29"/>
      <c r="D29"/>
      <c r="E29"/>
      <c r="F29"/>
    </row>
    <row r="30" spans="1:6" x14ac:dyDescent="0.2">
      <c r="A30" s="117" t="s">
        <v>17</v>
      </c>
      <c r="B30" s="117"/>
      <c r="C30" s="117"/>
      <c r="D30" s="117"/>
      <c r="E30" s="117"/>
      <c r="F30" s="117"/>
    </row>
    <row r="31" spans="1:6" x14ac:dyDescent="0.2">
      <c r="A31" s="12" t="s">
        <v>18</v>
      </c>
      <c r="B31" s="12">
        <v>8</v>
      </c>
      <c r="C31" s="12">
        <v>8</v>
      </c>
      <c r="D31" s="12">
        <v>1</v>
      </c>
      <c r="E31" s="12">
        <v>0</v>
      </c>
      <c r="F31" s="12">
        <v>4</v>
      </c>
    </row>
    <row r="32" spans="1:6" x14ac:dyDescent="0.2">
      <c r="A32" s="13" t="s">
        <v>26</v>
      </c>
      <c r="B32" s="13">
        <v>10</v>
      </c>
      <c r="C32" s="13">
        <v>9</v>
      </c>
      <c r="D32" s="13">
        <v>5</v>
      </c>
      <c r="E32" s="13">
        <v>0</v>
      </c>
      <c r="F32" s="13">
        <v>9</v>
      </c>
    </row>
    <row r="33" spans="1:6" x14ac:dyDescent="0.2">
      <c r="A33" s="14" t="s">
        <v>19</v>
      </c>
      <c r="B33" s="14">
        <v>3</v>
      </c>
      <c r="C33" s="14">
        <v>4</v>
      </c>
      <c r="D33" s="14">
        <v>15</v>
      </c>
      <c r="E33" s="14">
        <v>21</v>
      </c>
      <c r="F33" s="14">
        <v>8</v>
      </c>
    </row>
    <row r="34" spans="1:6" x14ac:dyDescent="0.2">
      <c r="A34" s="19" t="s">
        <v>20</v>
      </c>
      <c r="B34" s="22">
        <v>5</v>
      </c>
      <c r="C34" s="27">
        <v>5</v>
      </c>
      <c r="D34" s="27">
        <v>5</v>
      </c>
      <c r="E34" s="27">
        <v>5</v>
      </c>
      <c r="F34" s="40">
        <v>5</v>
      </c>
    </row>
    <row r="35" spans="1:6" x14ac:dyDescent="0.2">
      <c r="A35" s="20" t="s">
        <v>22</v>
      </c>
      <c r="B35" s="23">
        <f>SUM(B31:B33)</f>
        <v>21</v>
      </c>
      <c r="C35" s="23">
        <f>SUM(C31:C33)</f>
        <v>21</v>
      </c>
      <c r="D35" s="23">
        <f>SUM(D31:D33)</f>
        <v>21</v>
      </c>
      <c r="E35" s="23">
        <f>SUM(E31:E33)</f>
        <v>21</v>
      </c>
      <c r="F35" s="23">
        <f>SUM(F31:F33)</f>
        <v>21</v>
      </c>
    </row>
    <row r="38" spans="1:6" x14ac:dyDescent="0.2">
      <c r="A38" s="45" t="s">
        <v>27</v>
      </c>
      <c r="B38" s="109">
        <f>B31/B35</f>
        <v>0.38095238095238093</v>
      </c>
      <c r="C38" s="109">
        <f>C31/C35</f>
        <v>0.38095238095238093</v>
      </c>
      <c r="D38" s="109">
        <f>D31/D35</f>
        <v>4.7619047619047616E-2</v>
      </c>
      <c r="E38" s="110">
        <f>E31/E35</f>
        <v>0</v>
      </c>
      <c r="F38" s="109">
        <f>F31/F35</f>
        <v>0.19047619047619047</v>
      </c>
    </row>
    <row r="39" spans="1:6" x14ac:dyDescent="0.2">
      <c r="A39" s="47" t="s">
        <v>28</v>
      </c>
      <c r="B39" s="111">
        <f>SUM(B31,B32)/B35</f>
        <v>0.8571428571428571</v>
      </c>
      <c r="C39" s="111">
        <f>SUM(C31,C32)/C35</f>
        <v>0.80952380952380953</v>
      </c>
      <c r="D39" s="111">
        <f>SUM(D31,D32)/D35</f>
        <v>0.2857142857142857</v>
      </c>
      <c r="E39" s="111">
        <f>SUM(E31,E32)/E35</f>
        <v>0</v>
      </c>
      <c r="F39" s="111">
        <f>SUM(F31,F32)/F35</f>
        <v>0.61904761904761907</v>
      </c>
    </row>
  </sheetData>
  <mergeCells count="3">
    <mergeCell ref="A1:A2"/>
    <mergeCell ref="B1:F1"/>
    <mergeCell ref="A30:F3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Remote Control</vt:lpstr>
      <vt:lpstr>Fixed Plans</vt:lpstr>
      <vt:lpstr>Auto Adapt</vt:lpstr>
      <vt:lpstr>Energy Saving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3122348072668270</dc:creator>
  <cp:lastModifiedBy>TU-Pseudonym 3122348072668270</cp:lastModifiedBy>
  <dcterms:created xsi:type="dcterms:W3CDTF">2024-08-12T14:41:16Z</dcterms:created>
  <dcterms:modified xsi:type="dcterms:W3CDTF">2024-10-15T15:14:25Z</dcterms:modified>
</cp:coreProperties>
</file>