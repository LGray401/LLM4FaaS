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e/llm4faas/eva/_results/"/>
    </mc:Choice>
  </mc:AlternateContent>
  <xr:revisionPtr revIDLastSave="0" documentId="13_ncr:1_{B36C3A87-E017-8644-A02F-0D1985E85C84}" xr6:coauthVersionLast="47" xr6:coauthVersionMax="47" xr10:uidLastSave="{00000000-0000-0000-0000-000000000000}"/>
  <bookViews>
    <workbookView xWindow="0" yWindow="0" windowWidth="40960" windowHeight="23040" xr2:uid="{722548EF-65F8-7844-B682-C9AB7C87B0A2}"/>
  </bookViews>
  <sheets>
    <sheet name="Auto Adapt" sheetId="4" r:id="rId1"/>
    <sheet name="Energy Saving" sheetId="5" r:id="rId2"/>
    <sheet name="Fixed Plans" sheetId="3" r:id="rId3"/>
    <sheet name="Remote Contro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6" l="1"/>
  <c r="G40" i="6" s="1"/>
  <c r="C36" i="6"/>
  <c r="C40" i="6" s="1"/>
  <c r="J37" i="3"/>
  <c r="I37" i="3"/>
  <c r="H37" i="3"/>
  <c r="H39" i="3" s="1"/>
  <c r="D35" i="5"/>
  <c r="D39" i="5" s="1"/>
  <c r="H41" i="4"/>
  <c r="J38" i="4"/>
  <c r="I38" i="4"/>
  <c r="H38" i="4"/>
  <c r="H42" i="4" s="1"/>
  <c r="G39" i="6" l="1"/>
  <c r="C39" i="6"/>
  <c r="H38" i="3"/>
  <c r="D38" i="5"/>
  <c r="G39" i="5"/>
  <c r="S37" i="3"/>
  <c r="R37" i="3"/>
  <c r="Q37" i="3"/>
  <c r="S38" i="4"/>
  <c r="R38" i="4"/>
  <c r="Q38" i="4"/>
  <c r="P38" i="4"/>
  <c r="O38" i="4"/>
  <c r="N38" i="4"/>
  <c r="M38" i="4"/>
  <c r="L38" i="4"/>
  <c r="K38" i="4"/>
  <c r="G38" i="4"/>
  <c r="F38" i="4"/>
  <c r="E38" i="4"/>
  <c r="D38" i="4"/>
  <c r="C38" i="4"/>
  <c r="B38" i="4"/>
  <c r="G35" i="5"/>
  <c r="G38" i="5" s="1"/>
  <c r="F35" i="5"/>
  <c r="F39" i="5" s="1"/>
  <c r="E35" i="5"/>
  <c r="E39" i="5" s="1"/>
  <c r="C35" i="5"/>
  <c r="C38" i="5" s="1"/>
  <c r="B35" i="5"/>
  <c r="B38" i="5" s="1"/>
  <c r="F36" i="6"/>
  <c r="F39" i="6" s="1"/>
  <c r="E36" i="6"/>
  <c r="E39" i="6" s="1"/>
  <c r="D36" i="6"/>
  <c r="D40" i="6" s="1"/>
  <c r="B36" i="6"/>
  <c r="B39" i="6" s="1"/>
  <c r="P37" i="3"/>
  <c r="O37" i="3"/>
  <c r="N37" i="3"/>
  <c r="M37" i="3"/>
  <c r="L37" i="3"/>
  <c r="K37" i="3"/>
  <c r="G37" i="3"/>
  <c r="F37" i="3"/>
  <c r="E37" i="3"/>
  <c r="D37" i="3"/>
  <c r="C37" i="3"/>
  <c r="B37" i="3"/>
  <c r="N38" i="3"/>
  <c r="B39" i="3" l="1"/>
  <c r="F40" i="6"/>
  <c r="E40" i="6"/>
  <c r="B40" i="6"/>
  <c r="Q38" i="3"/>
  <c r="Q41" i="4"/>
  <c r="Q39" i="3"/>
  <c r="E38" i="3"/>
  <c r="K39" i="3"/>
  <c r="E39" i="3"/>
  <c r="C39" i="5"/>
  <c r="Q42" i="4"/>
  <c r="B42" i="4"/>
  <c r="K41" i="4"/>
  <c r="N42" i="4"/>
  <c r="N41" i="4"/>
  <c r="E42" i="4"/>
  <c r="E41" i="4"/>
  <c r="B41" i="4"/>
  <c r="K42" i="4"/>
  <c r="E38" i="5"/>
  <c r="N39" i="3"/>
  <c r="F38" i="5"/>
  <c r="B39" i="5"/>
  <c r="D39" i="6"/>
  <c r="K38" i="3"/>
  <c r="B38" i="3"/>
</calcChain>
</file>

<file path=xl/sharedStrings.xml><?xml version="1.0" encoding="utf-8"?>
<sst xmlns="http://schemas.openxmlformats.org/spreadsheetml/2006/main" count="1064" uniqueCount="392">
  <si>
    <t>✅</t>
  </si>
  <si>
    <t>copilot</t>
  </si>
  <si>
    <t>llama3</t>
  </si>
  <si>
    <t>gemini</t>
  </si>
  <si>
    <t>gpt-3.5-16k</t>
  </si>
  <si>
    <t>gpt-4o</t>
  </si>
  <si>
    <t>Index</t>
  </si>
  <si>
    <t>invalid prompt, generate an example for interacting with sensors and acturators in the living room</t>
  </si>
  <si>
    <t>✅(user does not specify room, and the generated code assumes it to be living room)</t>
  </si>
  <si>
    <t>✅(user requires 4 mode, and every mode works well)</t>
  </si>
  <si>
    <t>Remote Control</t>
  </si>
  <si>
    <t>invaild prompt (❌import errors, does not import enough calling function)</t>
  </si>
  <si>
    <t>invaild prompt</t>
  </si>
  <si>
    <t>✅(this function is the 'generic' function that I would like to have :D)</t>
  </si>
  <si>
    <t xml:space="preserve"> Fixed Plans</t>
  </si>
  <si>
    <t>no function is generated</t>
  </si>
  <si>
    <t xml:space="preserve">import errors, re-write the project python files </t>
  </si>
  <si>
    <t xml:space="preserve">re-write the project python files </t>
  </si>
  <si>
    <t>re-write the project python file</t>
  </si>
  <si>
    <t>invalid prompt</t>
  </si>
  <si>
    <t>Auto Adapt</t>
  </si>
  <si>
    <t>Energy Saving</t>
  </si>
  <si>
    <t>function does not quite match prompts(additionally control sensors but cannot get sensor readings); can control light/TV/music player as required but has warnings because does not turn on the devices first</t>
  </si>
  <si>
    <t>✅ (additionally provide function to control temperature)</t>
  </si>
  <si>
    <t>import error</t>
  </si>
  <si>
    <t xml:space="preserve">invaild prompt </t>
  </si>
  <si>
    <t>import error; does not turn on sensors to get sensor readings; doesn’t control window as required; only can control light in the living room</t>
  </si>
  <si>
    <t>import error; also have argument error</t>
  </si>
  <si>
    <t>cannot get sensor readings</t>
  </si>
  <si>
    <t>✅ (neither add new feature for the unexist Cleaning robot modes, not print any error message)</t>
  </si>
  <si>
    <t>Type Error</t>
  </si>
  <si>
    <t>✅ (only turn on the light in the living room)</t>
  </si>
  <si>
    <t>✅ (doesn’t call adjust temp function in this function, but in the other Gemini-generated function, it does)</t>
  </si>
  <si>
    <t>cannot get sensor readings; get wrong actuators</t>
  </si>
  <si>
    <t>type error</t>
  </si>
  <si>
    <t>IndexError</t>
  </si>
  <si>
    <t>cannot control actuators</t>
  </si>
  <si>
    <t>wrongly get the first two requests; does not turn on music player before playing lists</t>
  </si>
  <si>
    <t>✅ only control required devices/sensors in the living room</t>
  </si>
  <si>
    <t>does not totally understand prompts</t>
  </si>
  <si>
    <t>does not totally understand prompts; and cannot get sensor readings</t>
  </si>
  <si>
    <t>Import errors, only provide 3 mode with 4 required</t>
  </si>
  <si>
    <t>only open windows in the living room</t>
  </si>
  <si>
    <t>Type error</t>
  </si>
  <si>
    <t>only turn on light in the living room</t>
  </si>
  <si>
    <t>TypeError</t>
  </si>
  <si>
    <t>wrongly turn on light intensive sensor as well;</t>
  </si>
  <si>
    <t>wrongly turn off light intensive sensor as well;</t>
  </si>
  <si>
    <t>Morning</t>
  </si>
  <si>
    <t>Leave Home</t>
  </si>
  <si>
    <t>Movie</t>
  </si>
  <si>
    <t>Humidity</t>
  </si>
  <si>
    <t>Temperature</t>
  </si>
  <si>
    <t>Light Intensity</t>
  </si>
  <si>
    <t>Results</t>
  </si>
  <si>
    <t>PASS</t>
  </si>
  <si>
    <t>NOT PASS</t>
  </si>
  <si>
    <t>INVAILD</t>
  </si>
  <si>
    <t>✅ not triggered with time</t>
  </si>
  <si>
    <t>Curtain is opened not closedl; windows are wrongly opened</t>
  </si>
  <si>
    <t>✅Measuring whether it's cloudy by temperature</t>
  </si>
  <si>
    <t>✅Measuring whether it's sunny by temperature</t>
  </si>
  <si>
    <t>use different light intensity sensors' readings trigger bedroom actuators multiple times</t>
  </si>
  <si>
    <t>import error; ✅</t>
  </si>
  <si>
    <t>do not making coffee</t>
  </si>
  <si>
    <t>import error; cannot set brightness level</t>
  </si>
  <si>
    <t>gpt4o</t>
  </si>
  <si>
    <t>gpt3.5</t>
  </si>
  <si>
    <t>TOTAL_VALID</t>
  </si>
  <si>
    <t>import errors</t>
  </si>
  <si>
    <t>no function generated</t>
  </si>
  <si>
    <t>import errors &amp; home plan is not a general variable</t>
  </si>
  <si>
    <t>import errors; generated function does not contain plan logics</t>
  </si>
  <si>
    <t>Attribute error</t>
  </si>
  <si>
    <t>Attribute error: control all devices not only the required one(s)</t>
  </si>
  <si>
    <t>Control more devices than required</t>
  </si>
  <si>
    <t>cannot find coffee machine as required</t>
  </si>
  <si>
    <t>cannot find tv</t>
  </si>
  <si>
    <t>trigger door not light</t>
  </si>
  <si>
    <t>✅ control more than required devices</t>
  </si>
  <si>
    <t>would like additionally control temperature, but have problem with sensor reading, and do not get the right sensor</t>
  </si>
  <si>
    <t>AttributeError</t>
  </si>
  <si>
    <t>ModuleNotFoundError</t>
  </si>
  <si>
    <t>provide good and runable plans, and would like additionly provid auto-adapt function, however the cannot get sensor readings for the auto-adapt function</t>
  </si>
  <si>
    <t>import errors; provide more realistic operations than the prompts</t>
  </si>
  <si>
    <t>import errors&amp; after solving import errors, then, have Attribute Error</t>
  </si>
  <si>
    <t>does not control as prompts required</t>
  </si>
  <si>
    <t>do not control curtain as required</t>
  </si>
  <si>
    <t>do not turn on the light before control brightness level</t>
  </si>
  <si>
    <t>do not turn on Music Player before using it</t>
  </si>
  <si>
    <t>do not turn on Light before setting brightness level</t>
  </si>
  <si>
    <t>if the door is not open, then the function will not lock the door.</t>
  </si>
  <si>
    <t>if the TV is not turned on, then the function will not proceed</t>
  </si>
  <si>
    <t>Import Error</t>
  </si>
  <si>
    <t>does not turn on light before setting brightness level</t>
  </si>
  <si>
    <t>does not provide plan function as prompt required</t>
  </si>
  <si>
    <t>Import Error; IndexError</t>
  </si>
  <si>
    <t>Name Error</t>
  </si>
  <si>
    <t>does not turn on device before operating</t>
  </si>
  <si>
    <t>does not provide a runable function</t>
  </si>
  <si>
    <t>does not provide function code</t>
  </si>
  <si>
    <t>not only control smart sockets; only work on Living Room</t>
  </si>
  <si>
    <t>Import Error; wrong logic</t>
  </si>
  <si>
    <t>Import Error; does not provide plan function as prompt required</t>
  </si>
  <si>
    <t>does not find the required devices and control them accoredingly</t>
  </si>
  <si>
    <t>Import Error; Type Error</t>
  </si>
  <si>
    <t>does not understand the prompts</t>
  </si>
  <si>
    <t>cannot get sensor readings; and it does not trigger window to adjust temperature</t>
  </si>
  <si>
    <t>cannot get sensor readings; and Type Error</t>
  </si>
  <si>
    <t>cannot get sensor readings; and Type Error; doesn’t concern Energy Saving</t>
  </si>
  <si>
    <t>cannot get sensor reading; ✅</t>
  </si>
  <si>
    <t>do not call 'adapt_temperature' for setted temperature</t>
  </si>
  <si>
    <t>import errors; cannot get sensor readings; cannot set brightness level</t>
  </si>
  <si>
    <t>Import error</t>
  </si>
  <si>
    <t>no function provided</t>
  </si>
  <si>
    <t>cannot get sensor readings; no Notification Sender is in the Kitchen</t>
  </si>
  <si>
    <t>cannot get sensor readings; logic is right but do not support all requirements in the prompt</t>
  </si>
  <si>
    <t xml:space="preserve">import error; cannot get sensor readidngs; logic is partically right, the lost the light intensity concern for the second requirement </t>
  </si>
  <si>
    <t>cannot get sensor readings; Attribute Error</t>
  </si>
  <si>
    <t>print all sensors/actuators</t>
  </si>
  <si>
    <t>rewrite part of home_function</t>
  </si>
  <si>
    <t>get sensors in the living room</t>
  </si>
  <si>
    <t>invoke function to get all lights at home; import error</t>
  </si>
  <si>
    <t>provide home gui function; Name Error</t>
  </si>
  <si>
    <t>Import errors; ✅</t>
  </si>
  <si>
    <t>Import error; ✅</t>
  </si>
  <si>
    <t>cannot get sensor readings; ✅</t>
  </si>
  <si>
    <t>cannot adjust temperature without a target temperature</t>
  </si>
  <si>
    <t>cannot set brightness level without turning the light on</t>
  </si>
  <si>
    <t>✅（turn off all actuators, but prompt does not defined the meaning of 'unnecessary'）</t>
  </si>
  <si>
    <t>GPT4o's error is usually easy to fix, and afterwards, the function is fits the prompts</t>
  </si>
  <si>
    <t>Gemini always provide more features than propmt required, i.e., here, it additionally provide auto-adapt  functions</t>
  </si>
  <si>
    <t>SyntaxError</t>
  </si>
  <si>
    <t>Index Error</t>
  </si>
  <si>
    <t>Attibute Error</t>
  </si>
  <si>
    <t>IndentationError</t>
  </si>
  <si>
    <t>the function open the window when ac is on, which is opposite of the prompt</t>
  </si>
  <si>
    <t>calculate the avg for temperature, humidity and light intensity, but not adapt them</t>
  </si>
  <si>
    <t>✅ does not use predefined function to adjuest temperature</t>
  </si>
  <si>
    <t>does not get sensor readings to adjust enviornment</t>
  </si>
  <si>
    <t>send notification about enviroment situation, but does not adjust them using actuators</t>
  </si>
  <si>
    <t>use one sensor reading to control all realted actuators at home</t>
  </si>
  <si>
    <t>Import Error; cannot get sensor readings; ✅</t>
  </si>
  <si>
    <t>when light intensity is ok, cannot set brightness level to medium as the function does not turn on the light first</t>
  </si>
  <si>
    <t>does not adapt humidity</t>
  </si>
  <si>
    <t>cannot get sensor readings; does not keep humidity less than 30% as required</t>
  </si>
  <si>
    <t>TypeError; cannot get sensor reading</t>
  </si>
  <si>
    <t>Import error; cannot get sensor readings; trigger all related actuators based on one sensor reading in a specific room</t>
  </si>
  <si>
    <t>cannot get sensor readings; do not trigger Lights to adjust brightness</t>
  </si>
  <si>
    <t>cannot get sensor readings; do not trigger Humidifier to adjust humidity</t>
  </si>
  <si>
    <t>cannot get sensor readings; use 22 to be target temperature, but 22 degree is not specified in the prompt; does not call predefined function to adjust temperature</t>
  </si>
  <si>
    <t>function not about auto adapt home enviroment; cannot get sensor readings</t>
  </si>
  <si>
    <t>TypeError; cannot get sensor reading; home_plan is not a global varaible</t>
  </si>
  <si>
    <t>cannot get sensor readings; provide related function, but not the final auto adapt fucntion</t>
  </si>
  <si>
    <t>Import Errors; cannot get sensor readings; only check but not adapt environment</t>
  </si>
  <si>
    <t>TypeError; AttributeError</t>
  </si>
  <si>
    <t>cannot get sensor readings; only check not adapt environment</t>
  </si>
  <si>
    <t>TypeError; cannot get sensor reading; do not trigger actuators except notification sender; does not turn on notification sender before usage</t>
  </si>
  <si>
    <t>TypeError; cannot get sensor reading; does not turn on light before set brightness level</t>
  </si>
  <si>
    <t>TypeError; cannot get sensor reading;✅</t>
  </si>
  <si>
    <t>cannot get sensor readings; does not trigger ac/heater for adjusting temperature</t>
  </si>
  <si>
    <t>TypeError; cannot get sensor reading; trigger all related actuator based on one sensor reading</t>
  </si>
  <si>
    <t>TypeError; cannot get sensor reading; there is no light intensive sensor in the kitchen</t>
  </si>
  <si>
    <t>Leave a TODO comment for function logic</t>
  </si>
  <si>
    <t>cannot get sensor readings; after turn on the sensors, the function has a type error, because sensor does not have a room attribute</t>
  </si>
  <si>
    <t>TypeError; cannot get sensor reading; do not use home plan to trigger actuator; only trigger light with temperature and humidity</t>
  </si>
  <si>
    <t>cannot get sensor readings; does not find notification sender from home_plan;  does not trigger ac/heater/humidifier/light, only notification sender</t>
  </si>
  <si>
    <t>TypeError; cannot get sensor reading; does not get sensors and actuators from home_plan</t>
  </si>
  <si>
    <t>TypeError; cannot get sensor reading; use one sensor reading trigger all acs at home</t>
  </si>
  <si>
    <t>TypeError; cannot get sensor reading; does not provide humidity logic</t>
  </si>
  <si>
    <t>TypeError; cannot get sensor reading; does not provide light intensity logic</t>
  </si>
  <si>
    <t>import error; cannot get sensor readings</t>
  </si>
  <si>
    <t xml:space="preserve">import error; cannot get sensor readings; turn on the ac when it is too cold inside; </t>
  </si>
  <si>
    <t>import error; cannot get sensor readings; there is no Light intensive sensor in the kitchen</t>
  </si>
  <si>
    <t>cannot get sensor readings; use one sensor reading to trigger all related actuators</t>
  </si>
  <si>
    <t>TypeError; cannot get sensor reading; use one sensor reading trigger all acs at home; dues not trigger curtain as required in the prompt</t>
  </si>
  <si>
    <t>TypeError; cannot get sensor reading; use one sensor reading trigger all humidifiers at home</t>
  </si>
  <si>
    <t>import error; cannot get sensor readings; trigger light with temperature readings;</t>
  </si>
  <si>
    <t>import error; cannot get sensor readings; cannot set light brightness level without turning it on</t>
  </si>
  <si>
    <t>cannot get sensor readings; trigger all related actuators based on one sensor reading</t>
  </si>
  <si>
    <t>cannot get sensor readings; trigger all related actuators based on one sensor reading; does not use the predefined humidifier function</t>
  </si>
  <si>
    <t>cannot get sensor readings; trigger all related actuators based on one sensor reading; does not turn on the light and close the curtain when too bright</t>
  </si>
  <si>
    <t xml:space="preserve">TypeError when find actuators and sensors;cannot get sensor readings; when controlling the temperature, the function does not call adapt temperature after set target temperature; </t>
  </si>
  <si>
    <t xml:space="preserve">TypeError when find actuators and sensors; cannot get sensor readings; </t>
  </si>
  <si>
    <t xml:space="preserve">TypeError when find actuators and sensors;cannot get sensor readings; </t>
  </si>
  <si>
    <t xml:space="preserve">Import error; cannot get sensor readings; </t>
  </si>
  <si>
    <t>Import error; cannot get sensor readings; cannot set light's brightness level</t>
  </si>
  <si>
    <t>✅; provide a good 'fixed plan'&amp;'remote control' implementation as well; need to turn on Notification Sender before using it in smoke detection;</t>
  </si>
  <si>
    <t>when check bedroom humidity, find the kitchen humidity sensor instead</t>
  </si>
  <si>
    <t>✅; only turn on/off light</t>
  </si>
  <si>
    <t>TypeError; cannot get sensor reading; no function generated</t>
  </si>
  <si>
    <t>TypeError; cannot get sensor reading; use 2 function to control ac and heater seperately</t>
  </si>
  <si>
    <t xml:space="preserve">TypeError; cannot get sensor reading; </t>
  </si>
  <si>
    <t>✅;additional trigger cleaning robot, but does not turn it on first</t>
  </si>
  <si>
    <t>TypeError; cannot get sensor readings</t>
  </si>
  <si>
    <t>IndentationError; provide unnecessary function and import errors; cannot get sensor readings; do not set target temp before adjust temp</t>
  </si>
  <si>
    <t>IndentationError; provide unnecessary function and import errors; cannot get sensor readings; ✅</t>
  </si>
  <si>
    <t>IndentationError; provide unnecessary function and import errors; cannot get sensor readings;✅</t>
  </si>
  <si>
    <t>cannot get sensor readings;do not set target temp before calling adjust func</t>
  </si>
  <si>
    <t>cannot get sensor readings; cannot set brightness level when it is too bright</t>
  </si>
  <si>
    <t>Import error; cannot get sensor readings; ✅</t>
  </si>
  <si>
    <t xml:space="preserve">Import error; cannot get sensor readings; use one humidity reading to control all humidifiers; </t>
  </si>
  <si>
    <t>Import error; cannot get sensor readings; trigger lights in the other rooms as well</t>
  </si>
  <si>
    <t>cannot get sensor readings; trigger ac to adjust humidity</t>
  </si>
  <si>
    <t>cannot get sensor readings; only turn on/off ac</t>
  </si>
  <si>
    <t>cannot get sensor readings; only turn on/off light</t>
  </si>
  <si>
    <t>Import error; cannot get sensor readings; only turn on /off ac/ heater</t>
  </si>
  <si>
    <t>Import error; cannot get sensor readings</t>
  </si>
  <si>
    <t>Import error; cannot get sensor readings; only turn on/off light</t>
  </si>
  <si>
    <t>cannot get sensor readings; do not let home_plan() to be global variable; only turn on/off heater/ac</t>
  </si>
  <si>
    <t>cannot get sensor readings; do not let home_plan() to be global variable; do not call predefined functions;</t>
  </si>
  <si>
    <t>cannot get sensor readings; do not let home_plan() to be global variable; only turn on/off light</t>
  </si>
  <si>
    <t>no function generated for light intensity</t>
  </si>
  <si>
    <t>cannot get sensor readings; but it is good that the function gives out sample commands; cannot find heater/ac correctly</t>
  </si>
  <si>
    <t>cannot get sensor readings; but it is good that the function gives out sample commands; cannot find humidifier correctly</t>
  </si>
  <si>
    <t>AttributeError; cannot get sensor readings; does set target temp before adjust it;</t>
  </si>
  <si>
    <t>AttributeError; cannot get sensor readings; make an unexist function for humidifier</t>
  </si>
  <si>
    <t>AttributeError; cannot get sensor readings; when it is too bright at home, set the light to high as well…</t>
  </si>
  <si>
    <t>TypeError; cannot get sensor reading; only when too dark set light brightness level to high</t>
  </si>
  <si>
    <t>TypeError; cannot get sensor reading; cannot fin ac/heater; do not use threshold specified in the prompt</t>
  </si>
  <si>
    <t>TypeError; cannot get sensor reading; only consider too dry at home; cannot find humidifier</t>
  </si>
  <si>
    <t>cannot get sensor readings; function logic is wrong</t>
  </si>
  <si>
    <t>cannot get sensor readings; only operate on the first actuator(light) in the room</t>
  </si>
  <si>
    <t>TypeError; cannot get sensor reading; cannot find right actuator, i.e., humidifier</t>
  </si>
  <si>
    <t>TypeError; cannot get sensor reading;cannot find right actuator, i.e., ac/heater</t>
  </si>
  <si>
    <t xml:space="preserve">cannot get sensor readings; only turn on/off ac; </t>
  </si>
  <si>
    <t>cannot get sensor readings; does not set target temp for ac/heater when adjust temp using them; when trigger window, when it is too hot, it turn off window first then turn it off, which I do not understand</t>
  </si>
  <si>
    <t xml:space="preserve">cannot get sensor readings; ✅ </t>
  </si>
  <si>
    <t>SyntaxError; invaild function</t>
  </si>
  <si>
    <t>import errors; cannot get sensor readings; using curtain not light to be triggered and only consider when it is too bright</t>
  </si>
  <si>
    <t>import errors; cannot get sensor readings; ✅ when too dry use humidifier, when too wet, open window</t>
  </si>
  <si>
    <t>import errors; cannot get sensor readings; ✅ turn on ac/heater and set target temp, but not call 'adjust temp function'</t>
  </si>
  <si>
    <t>cannot get sensor readings; does not set target temp for ac/heater when adjust temp using them</t>
  </si>
  <si>
    <t>TypeError; Import error; use one sensor reading to trigger all related devices</t>
  </si>
  <si>
    <t>TypeError; Import error; trigger curtain not light; also use one sensor reading to trigger all realted devices</t>
  </si>
  <si>
    <t>TypeError; Import error; only turn on the humidifier, does incrase/decrease the humidity</t>
  </si>
  <si>
    <t>does not turn on Light before setting brightness</t>
  </si>
  <si>
    <t>NameError(import); ✅</t>
  </si>
  <si>
    <t>✅ (does not provide main function as required)</t>
  </si>
  <si>
    <t>✅ (only in the living room)</t>
  </si>
  <si>
    <t>ImportError; does not provide main function as required; cannot set brightness level without turning the lights on.</t>
  </si>
  <si>
    <t>it does not work on the current home, but creat a new 'window'</t>
  </si>
  <si>
    <t>provides a fucntion skelon without implementing the logic, but as the user does not give more details, still fit the prompt.</t>
  </si>
  <si>
    <t>TypeError; cannot get sensor readings; does not turn on the light before setting the brightness level</t>
  </si>
  <si>
    <t>NameError(import); does not let home to be a global variable</t>
  </si>
  <si>
    <t>NameError(import);✅</t>
  </si>
  <si>
    <t>does not make coffee; other parts fit the prompt</t>
  </si>
  <si>
    <t>TypeError; cannot get sensor readings; give an example about temperature adjustment</t>
  </si>
  <si>
    <t>AttributeError; it use some place holder for the unexist functions✅</t>
  </si>
  <si>
    <t>does not turn on Light before using them; fits other requirements</t>
  </si>
  <si>
    <t>red: not pass/does not understand prompt</t>
  </si>
  <si>
    <t>ModuleNotFoundError; one argument in the function should be 'smart socket' but it writes 'actuator'</t>
  </si>
  <si>
    <t>TypeError; cannot get sensor readings; does not import Door and door does not have a 'locked' status</t>
  </si>
  <si>
    <t>✅ (the function opens all windows and close all acs)</t>
  </si>
  <si>
    <t>ImportError; does not provide a main function as required; cannot get sensor readings</t>
  </si>
  <si>
    <t>cannot get sensor readings; cannot set light's brightness level; dim the light when the room is not dart</t>
  </si>
  <si>
    <t>AttributeError; cannot get sensor readings; outdoor temperature sensor is not in the Living Room</t>
  </si>
  <si>
    <t>ModuleNotFoundError(import);✅</t>
  </si>
  <si>
    <t>cannot get sensor readings; does not provide main function as required; the function is not based on current 'home', it create new sensor and window.</t>
  </si>
  <si>
    <t>TypeError; cannot find the right 'outdoor sensor' as the function uses wrong outdoor sensor names</t>
  </si>
  <si>
    <t>TypeError; cannot get sensor readings;✅</t>
  </si>
  <si>
    <t>cannot get sensor readings;does not provide main function as required</t>
  </si>
  <si>
    <t>does not provide processing logic</t>
  </si>
  <si>
    <t>TypeError; cannot get sensor readings; use ac to adjust humidity</t>
  </si>
  <si>
    <t>cannot set light's brightness level; other requirements are fited; does not provide a main() function as required</t>
  </si>
  <si>
    <t>TypeError; wrongly call get_room function</t>
  </si>
  <si>
    <t>TypeError; cannot get sensor readings; every sensor reading will trigger all related actuators</t>
  </si>
  <si>
    <t>TypeError; cannot get sensor readings; door status should be on not open; does provide all required features</t>
  </si>
  <si>
    <t>ImportError; does not provide a main function as required; cannot get sensor readings; cannot find outdoor temp sensor in Living room and bedroom; cannot get sensor readings</t>
  </si>
  <si>
    <t>ImportError; does not provide a main function as required; cannot get sensor readings; ✅</t>
  </si>
  <si>
    <t>green: ready-to-use</t>
  </si>
  <si>
    <t>yello: no error returned and fits the prompt</t>
  </si>
  <si>
    <t>import errors; ✅</t>
  </si>
  <si>
    <t>cannot get sensor readings; logic is not correct</t>
  </si>
  <si>
    <t>TypeError; does not  use the provided home setup, create new rooms instead</t>
  </si>
  <si>
    <t>ModuleNotFoundError(import); TypeError(cannot get sensor reading)</t>
  </si>
  <si>
    <t>TypeError; cannot get sensor readings; ImportError; cannot find Humidifier</t>
  </si>
  <si>
    <t>TypeError; cannot get sensor readings; does not consider if it is too bright at home;and too wet at home</t>
  </si>
  <si>
    <t>TypeError; cannot get sensor readings; does provide logic for humidity and light intensity</t>
  </si>
  <si>
    <t>TypeError; cannot get sensor readings; does not adjust humidity</t>
  </si>
  <si>
    <t>TypeError; cannot get sensor readings; does not call humidifier's predefined function</t>
  </si>
  <si>
    <t>ImportError; cannot get sensor readings; ✅</t>
  </si>
  <si>
    <t>TypeError; cannot get sensor readings;import error; home setup is not a global variable</t>
  </si>
  <si>
    <t>the generated function only contain a comment which causes the IndentationError</t>
  </si>
  <si>
    <t>TypeError; cannot get sensor readings; Import Error; only considers it is too dry/dark at home; home setup is not a global variable</t>
  </si>
  <si>
    <t>cannot get sensor readings; for humidity control and when it is too bright, only trigger notification sender</t>
  </si>
  <si>
    <t>NameError(import error); cannot get sensor readings; doesn’t adjust temp correctly</t>
  </si>
  <si>
    <t>NameError(import error); cannot get sensor readings; ✅</t>
  </si>
  <si>
    <t>NameError(import error); cannot get sensor readings;cannot set light's brightness level</t>
  </si>
  <si>
    <t>TypeError; cannot get sensor readings; does not provide function logic</t>
  </si>
  <si>
    <t>TypeError; cannot get sensor readings; doesn't turn off ac when turn on heater and vice versa</t>
  </si>
  <si>
    <t>TypeError; cannot get sensor readindg;</t>
  </si>
  <si>
    <t>TypeError; cannot get sensor readings; use every sensor reading to trigger all related actuators</t>
  </si>
  <si>
    <t>TypeError; cannot get sensor readindg; does not provide main function as required; ✅</t>
  </si>
  <si>
    <t>TypeError; cannot get sensor readindg; does not provide main function as required; does not call the decrease humidity funtion</t>
  </si>
  <si>
    <t>TypeError; cannot get sensor readindg; does not provide main function as required; light is not turned on when too dark</t>
  </si>
  <si>
    <t>TypeError; cannot get sensor readings; use one sensor reading to trigger all related actuators; for light intensity control, there is an unsolved reference for activity</t>
  </si>
  <si>
    <t>import error; ✅Curtain is opened not closed</t>
  </si>
  <si>
    <t>GPT4o can provide usable function for invalid prompts</t>
  </si>
  <si>
    <t>cannot trigger music player and coffee machine</t>
  </si>
  <si>
    <t>ç</t>
  </si>
  <si>
    <t>cannot set light's brightness level</t>
  </si>
  <si>
    <t>NameError(import);cannot set light's brightness level</t>
  </si>
  <si>
    <t>NameError;✅</t>
  </si>
  <si>
    <t>create new actuators instead using existed ones</t>
  </si>
  <si>
    <t>NameError(import);create a new Door;</t>
  </si>
  <si>
    <t>Only the skeleton is provided, not the function logic implementation</t>
  </si>
  <si>
    <t>there is no coffee machine in the living room</t>
  </si>
  <si>
    <t xml:space="preserve">cannot find the requied actuators </t>
  </si>
  <si>
    <t>✅does not provide main function as required</t>
  </si>
  <si>
    <t>cannot trigger music player; there is no coffee machine at Bedroom</t>
  </si>
  <si>
    <t>cannot set light's brightness level; need to turn on TV before choose channel</t>
  </si>
  <si>
    <t>NameError(import); coffee machine is not in the living room</t>
  </si>
  <si>
    <t>when check light intensity in the bedroom, function should trigger bedroom curtain</t>
  </si>
  <si>
    <t>door does not have a 'locked' status</t>
  </si>
  <si>
    <t>cannot set light's brightness level; does not turn on the TV</t>
  </si>
  <si>
    <t>NameError(import);IndexError(no coffee machine in the living room)</t>
  </si>
  <si>
    <t>COMPILE</t>
  </si>
  <si>
    <t>Gemini functions has several TypeError which are ''Room' object is not iterable '</t>
  </si>
  <si>
    <t xml:space="preserve"> PASS RATE</t>
  </si>
  <si>
    <t>COMPILABLE RATE</t>
  </si>
  <si>
    <t>gpt-4o-mini</t>
  </si>
  <si>
    <t>NameError(import)</t>
  </si>
  <si>
    <t>AttributeError; cannot find the right actuator</t>
  </si>
  <si>
    <t>cannot set brightness level</t>
  </si>
  <si>
    <t>cannot get sensor readings; cannot set brightness level</t>
  </si>
  <si>
    <t>TypeError; cannot find actuator</t>
  </si>
  <si>
    <t>cannot find room</t>
  </si>
  <si>
    <t>cannot find actuators</t>
  </si>
  <si>
    <t>gpt4o-mini</t>
  </si>
  <si>
    <t>AttributeError; cannot find actuator</t>
  </si>
  <si>
    <t>NameError(import); it creates new device not find the existing one.</t>
  </si>
  <si>
    <t>cannot get sensor readings; only trigger the first found actuator in the room</t>
  </si>
  <si>
    <t>NameError(import); doesn't trigger any devices at home</t>
  </si>
  <si>
    <t>only trigger the first found light in the living room</t>
  </si>
  <si>
    <t>cannot get sensor readings; import errors;✅</t>
  </si>
  <si>
    <t>doesn’t trigger actuators based on sensor readings</t>
  </si>
  <si>
    <t>NameError(import);only trigger the first found light</t>
  </si>
  <si>
    <t>cannot find the right sensors and actuators</t>
  </si>
  <si>
    <t>cannot get sensor readings; import errors;does not trigger any actuator at home</t>
  </si>
  <si>
    <t>can only trigger the first found actuator</t>
  </si>
  <si>
    <t>does not trigger any actuator at home</t>
  </si>
  <si>
    <t>can only trigger the first found actuator;</t>
  </si>
  <si>
    <t>cannot use notification sender without turning it on; does not trigger any actuators at home</t>
  </si>
  <si>
    <t>cannot set brightness level; only triggers the first found light</t>
  </si>
  <si>
    <t>cannot get sensor readings;✅</t>
  </si>
  <si>
    <t>cannot get sensor readins; cannot set brightness level</t>
  </si>
  <si>
    <t>cannot get sensor readings;only triggers the first found light</t>
  </si>
  <si>
    <t>only trigger the first found window</t>
  </si>
  <si>
    <t>cannot get sensor readings;only trigger one window</t>
  </si>
  <si>
    <t>cannot find sensors</t>
  </si>
  <si>
    <t>only trigger the first found window; doesn’t adjust temp in correctly</t>
  </si>
  <si>
    <t>cannot  find the right acutator</t>
  </si>
  <si>
    <t>every sensor will trigger all related actuators</t>
  </si>
  <si>
    <t>cannot find both indoor and outdoor sensors in the  same room</t>
  </si>
  <si>
    <t>✅; there is another understanding of the user prompt, i.e., except for the smoke sensor, the rest prompt does not work only in the kitchen</t>
  </si>
  <si>
    <t>only trigger actuators in the living room</t>
  </si>
  <si>
    <t>NameError(import); only trigger actuators in the living room</t>
  </si>
  <si>
    <t>TypeError;cannot find actuators</t>
  </si>
  <si>
    <t>does not trigger sockets</t>
  </si>
  <si>
    <t>does not turn off the lights</t>
  </si>
  <si>
    <t>NameError(import;only trigger actuators in the living room</t>
  </si>
  <si>
    <t>cannot find coffee machine</t>
  </si>
  <si>
    <t>NameError; cannot set brightness level</t>
  </si>
  <si>
    <t>NameError(import);only trigger actuators in the living room</t>
  </si>
  <si>
    <t>NameError(import);cannot set brightness level</t>
  </si>
  <si>
    <t>does not work in the Bedroom</t>
  </si>
  <si>
    <t>NameError(import); only trigger the first found actuator</t>
  </si>
  <si>
    <t>only trigger the first found light in the living room; does adjust temp in a right way</t>
  </si>
  <si>
    <t>✅ not open all the windows</t>
  </si>
  <si>
    <t>NameError(import); ac and heater will be turned on at the same time, i.e., threshold is not proper</t>
  </si>
  <si>
    <t>cannot find lights</t>
  </si>
  <si>
    <t>cannot find coffee machine; does not adjust temp after setting target temp for ac</t>
  </si>
  <si>
    <t>cannot find lights in the bedroom</t>
  </si>
  <si>
    <t>only trigger one light when there are multiple ones</t>
  </si>
  <si>
    <t>there are 2 ACs at home, only find 1</t>
  </si>
  <si>
    <t>AttributeError for TV, calling an non-exist function; wrongly consider Heater to be water cooker</t>
  </si>
  <si>
    <t>only open the living room windows, and only 1 out of 2 windows</t>
  </si>
  <si>
    <t>only contron 1 light in the bedroom, but there are 2; has already support the auto-adapt functionality</t>
  </si>
  <si>
    <t>Import Error for AC and Cleaning Robot✅, i.e., all related actuators; it assumes that when all sensors are off, there is nobody at home)</t>
  </si>
  <si>
    <t>cannot adjust light correctly, this function uses whether an actuator has a turn_on/off method to determine whether that actuator is a light or not. However, each actuator has an on/off function.</t>
  </si>
  <si>
    <t>only operates Kitchen and Living Room Light</t>
  </si>
  <si>
    <t>use one sensor reading triggers all ac/heater at home.</t>
  </si>
  <si>
    <t>Type Error, cannot get sensor readings; ✅</t>
  </si>
  <si>
    <t xml:space="preserve">does not ues outdoor sensor reading </t>
  </si>
  <si>
    <t>control logic is not correct</t>
  </si>
  <si>
    <t>Type Error, but temp adjust logic is right; ignore water cooker(unexist device) requirements</t>
  </si>
  <si>
    <t>implement 4 required modes; but does not turn on notification sender before sending msgs</t>
  </si>
  <si>
    <t>does not turn on Light&amp;MusicPlayer before usage</t>
  </si>
  <si>
    <t>✅ can as requried turn off the light; additionally the function would like to set brightness, but does not turn on light first</t>
  </si>
  <si>
    <t>only control the first light at a specific room(bedroom)</t>
  </si>
  <si>
    <t>prompt requires using ac to adjust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</si>
</sst>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7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61CBF3"/>
        <bgColor rgb="FF000000"/>
      </patternFill>
    </fill>
    <fill>
      <patternFill patternType="solid">
        <fgColor rgb="FFDAF2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D0D0D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00B0F0"/>
        <bgColor indexed="64"/>
      </patternFill>
    </fill>
  </fills>
  <borders count="49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</borders>
  <cellStyleXfs count="2">
    <xf numFmtId="0" fontId="0" fillId="0" borderId="0"/>
    <xf numFmtId="0" fontId="1" fillId="0" borderId="0"/>
  </cellStyleXfs>
  <cellXfs count="24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0" fontId="1" fillId="3" borderId="4" xfId="1" applyFill="1" applyBorder="1" applyAlignment="1">
      <alignment horizontal="left"/>
    </xf>
    <xf numFmtId="0" fontId="1" fillId="0" borderId="10" xfId="1" applyBorder="1"/>
    <xf numFmtId="0" fontId="1" fillId="0" borderId="0" xfId="1" applyAlignment="1">
      <alignment horizontal="left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0" fontId="1" fillId="0" borderId="19" xfId="1" applyBorder="1"/>
    <xf numFmtId="0" fontId="1" fillId="0" borderId="11" xfId="1" applyBorder="1" applyAlignment="1">
      <alignment horizontal="center"/>
    </xf>
    <xf numFmtId="0" fontId="1" fillId="2" borderId="21" xfId="1" applyFill="1" applyBorder="1" applyAlignment="1">
      <alignment horizontal="left"/>
    </xf>
    <xf numFmtId="0" fontId="1" fillId="0" borderId="24" xfId="1" applyBorder="1" applyAlignment="1">
      <alignment horizontal="center"/>
    </xf>
    <xf numFmtId="0" fontId="1" fillId="0" borderId="30" xfId="1" applyBorder="1"/>
    <xf numFmtId="0" fontId="1" fillId="0" borderId="31" xfId="1" applyBorder="1"/>
    <xf numFmtId="0" fontId="1" fillId="0" borderId="32" xfId="1" applyBorder="1"/>
    <xf numFmtId="0" fontId="1" fillId="0" borderId="17" xfId="1" applyBorder="1"/>
    <xf numFmtId="0" fontId="1" fillId="0" borderId="18" xfId="1" applyBorder="1"/>
    <xf numFmtId="0" fontId="1" fillId="3" borderId="6" xfId="1" applyFill="1" applyBorder="1" applyAlignment="1">
      <alignment horizontal="left"/>
    </xf>
    <xf numFmtId="0" fontId="1" fillId="0" borderId="34" xfId="1" applyBorder="1" applyAlignment="1">
      <alignment horizontal="center"/>
    </xf>
    <xf numFmtId="0" fontId="1" fillId="0" borderId="28" xfId="1" applyBorder="1" applyAlignment="1">
      <alignment horizontal="center"/>
    </xf>
    <xf numFmtId="0" fontId="1" fillId="0" borderId="25" xfId="1" applyBorder="1" applyAlignment="1">
      <alignment horizontal="center"/>
    </xf>
    <xf numFmtId="0" fontId="1" fillId="2" borderId="11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1" fillId="8" borderId="3" xfId="0" applyFont="1" applyFill="1" applyBorder="1" applyAlignment="1">
      <alignment horizontal="left"/>
    </xf>
    <xf numFmtId="0" fontId="1" fillId="9" borderId="3" xfId="0" applyFont="1" applyFill="1" applyBorder="1" applyAlignment="1">
      <alignment horizontal="center" vertical="center"/>
    </xf>
    <xf numFmtId="0" fontId="4" fillId="10" borderId="3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center" vertical="center"/>
    </xf>
    <xf numFmtId="49" fontId="1" fillId="11" borderId="3" xfId="0" applyNumberFormat="1" applyFont="1" applyFill="1" applyBorder="1" applyAlignment="1">
      <alignment horizontal="left" vertical="center"/>
    </xf>
    <xf numFmtId="0" fontId="4" fillId="11" borderId="3" xfId="0" applyFont="1" applyFill="1" applyBorder="1" applyAlignment="1">
      <alignment horizontal="left" vertical="center"/>
    </xf>
    <xf numFmtId="0" fontId="4" fillId="11" borderId="5" xfId="0" applyFont="1" applyFill="1" applyBorder="1" applyAlignment="1">
      <alignment horizontal="left" vertical="center"/>
    </xf>
    <xf numFmtId="0" fontId="1" fillId="9" borderId="18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left" vertical="center"/>
    </xf>
    <xf numFmtId="0" fontId="1" fillId="0" borderId="19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0" fontId="1" fillId="8" borderId="14" xfId="0" applyFont="1" applyFill="1" applyBorder="1" applyAlignment="1">
      <alignment horizontal="left"/>
    </xf>
    <xf numFmtId="0" fontId="1" fillId="9" borderId="15" xfId="0" applyFont="1" applyFill="1" applyBorder="1" applyAlignment="1">
      <alignment horizontal="left"/>
    </xf>
    <xf numFmtId="0" fontId="4" fillId="10" borderId="15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/>
    </xf>
    <xf numFmtId="49" fontId="1" fillId="11" borderId="4" xfId="0" applyNumberFormat="1" applyFont="1" applyFill="1" applyBorder="1" applyAlignment="1">
      <alignment horizontal="left" vertical="center"/>
    </xf>
    <xf numFmtId="0" fontId="1" fillId="9" borderId="4" xfId="0" applyFont="1" applyFill="1" applyBorder="1" applyAlignment="1">
      <alignment horizontal="left"/>
    </xf>
    <xf numFmtId="0" fontId="4" fillId="10" borderId="4" xfId="0" applyFont="1" applyFill="1" applyBorder="1" applyAlignment="1">
      <alignment horizontal="left" vertical="center"/>
    </xf>
    <xf numFmtId="0" fontId="4" fillId="11" borderId="4" xfId="0" applyFont="1" applyFill="1" applyBorder="1" applyAlignment="1">
      <alignment horizontal="left" vertical="center"/>
    </xf>
    <xf numFmtId="0" fontId="1" fillId="6" borderId="11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4" borderId="15" xfId="1" applyFont="1" applyFill="1" applyBorder="1" applyAlignment="1">
      <alignment horizontal="left" vertical="center"/>
    </xf>
    <xf numFmtId="0" fontId="2" fillId="4" borderId="3" xfId="1" applyFont="1" applyFill="1" applyBorder="1" applyAlignment="1">
      <alignment horizontal="left" vertical="center"/>
    </xf>
    <xf numFmtId="0" fontId="1" fillId="0" borderId="24" xfId="1" applyBorder="1" applyAlignment="1">
      <alignment horizontal="left"/>
    </xf>
    <xf numFmtId="0" fontId="1" fillId="3" borderId="1" xfId="1" applyFill="1" applyBorder="1" applyAlignment="1">
      <alignment horizontal="left"/>
    </xf>
    <xf numFmtId="0" fontId="1" fillId="3" borderId="22" xfId="1" applyFill="1" applyBorder="1" applyAlignment="1">
      <alignment horizontal="left"/>
    </xf>
    <xf numFmtId="0" fontId="1" fillId="4" borderId="4" xfId="1" applyFill="1" applyBorder="1" applyAlignment="1">
      <alignment horizontal="left"/>
    </xf>
    <xf numFmtId="0" fontId="1" fillId="6" borderId="4" xfId="1" applyFill="1" applyBorder="1" applyAlignment="1">
      <alignment horizontal="left"/>
    </xf>
    <xf numFmtId="0" fontId="1" fillId="4" borderId="17" xfId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" fillId="0" borderId="11" xfId="1" applyFont="1" applyBorder="1" applyAlignment="1">
      <alignment horizontal="center"/>
    </xf>
    <xf numFmtId="0" fontId="5" fillId="0" borderId="0" xfId="0" applyFont="1"/>
    <xf numFmtId="0" fontId="1" fillId="4" borderId="4" xfId="1" applyFill="1" applyBorder="1" applyAlignment="1">
      <alignment horizontal="center"/>
    </xf>
    <xf numFmtId="0" fontId="1" fillId="10" borderId="4" xfId="0" applyFont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1" fillId="6" borderId="4" xfId="1" applyFill="1" applyBorder="1" applyAlignment="1">
      <alignment horizontal="center"/>
    </xf>
    <xf numFmtId="0" fontId="1" fillId="13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/>
    </xf>
    <xf numFmtId="0" fontId="1" fillId="4" borderId="35" xfId="1" applyFill="1" applyBorder="1" applyAlignment="1">
      <alignment horizontal="center"/>
    </xf>
    <xf numFmtId="0" fontId="1" fillId="4" borderId="3" xfId="1" applyFill="1" applyBorder="1" applyAlignment="1">
      <alignment horizontal="center"/>
    </xf>
    <xf numFmtId="0" fontId="1" fillId="4" borderId="0" xfId="1" applyFill="1"/>
    <xf numFmtId="0" fontId="1" fillId="4" borderId="0" xfId="1" applyFill="1" applyAlignment="1">
      <alignment horizontal="center"/>
    </xf>
    <xf numFmtId="0" fontId="1" fillId="3" borderId="5" xfId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3" borderId="3" xfId="1" applyFill="1" applyBorder="1" applyAlignment="1">
      <alignment horizontal="left"/>
    </xf>
    <xf numFmtId="0" fontId="1" fillId="3" borderId="5" xfId="1" applyFill="1" applyBorder="1" applyAlignment="1">
      <alignment horizontal="left"/>
    </xf>
    <xf numFmtId="0" fontId="1" fillId="4" borderId="35" xfId="1" applyFill="1" applyBorder="1"/>
    <xf numFmtId="0" fontId="2" fillId="4" borderId="35" xfId="1" applyFont="1" applyFill="1" applyBorder="1"/>
    <xf numFmtId="0" fontId="1" fillId="3" borderId="36" xfId="1" applyFill="1" applyBorder="1" applyAlignment="1">
      <alignment horizontal="left"/>
    </xf>
    <xf numFmtId="0" fontId="1" fillId="4" borderId="15" xfId="1" applyFill="1" applyBorder="1"/>
    <xf numFmtId="0" fontId="1" fillId="3" borderId="3" xfId="1" applyFill="1" applyBorder="1"/>
    <xf numFmtId="0" fontId="1" fillId="6" borderId="3" xfId="1" applyFill="1" applyBorder="1"/>
    <xf numFmtId="0" fontId="1" fillId="4" borderId="3" xfId="1" applyFill="1" applyBorder="1"/>
    <xf numFmtId="0" fontId="2" fillId="6" borderId="3" xfId="1" applyFont="1" applyFill="1" applyBorder="1" applyAlignment="1">
      <alignment horizontal="left" vertical="center"/>
    </xf>
    <xf numFmtId="0" fontId="1" fillId="4" borderId="4" xfId="1" applyFill="1" applyBorder="1"/>
    <xf numFmtId="0" fontId="1" fillId="3" borderId="4" xfId="1" applyFill="1" applyBorder="1"/>
    <xf numFmtId="0" fontId="1" fillId="2" borderId="14" xfId="1" applyFill="1" applyBorder="1"/>
    <xf numFmtId="0" fontId="3" fillId="0" borderId="11" xfId="0" applyFont="1" applyBorder="1" applyAlignment="1">
      <alignment horizontal="center" vertical="center"/>
    </xf>
    <xf numFmtId="0" fontId="1" fillId="4" borderId="3" xfId="1" applyFill="1" applyBorder="1" applyAlignment="1">
      <alignment horizontal="left"/>
    </xf>
    <xf numFmtId="0" fontId="1" fillId="4" borderId="14" xfId="1" applyFill="1" applyBorder="1" applyAlignment="1">
      <alignment horizontal="left"/>
    </xf>
    <xf numFmtId="0" fontId="1" fillId="2" borderId="4" xfId="1" applyFill="1" applyBorder="1" applyAlignment="1">
      <alignment horizontal="left"/>
    </xf>
    <xf numFmtId="0" fontId="1" fillId="4" borderId="21" xfId="1" applyFill="1" applyBorder="1"/>
    <xf numFmtId="0" fontId="1" fillId="4" borderId="5" xfId="1" applyFill="1" applyBorder="1" applyAlignment="1">
      <alignment horizontal="left"/>
    </xf>
    <xf numFmtId="0" fontId="0" fillId="0" borderId="15" xfId="0" applyBorder="1"/>
    <xf numFmtId="0" fontId="0" fillId="0" borderId="18" xfId="0" applyBorder="1"/>
    <xf numFmtId="0" fontId="1" fillId="12" borderId="4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3" fillId="0" borderId="14" xfId="1" applyFont="1" applyBorder="1" applyAlignment="1">
      <alignment horizontal="center"/>
    </xf>
    <xf numFmtId="0" fontId="3" fillId="0" borderId="15" xfId="1" applyFont="1" applyBorder="1" applyAlignment="1">
      <alignment horizontal="center"/>
    </xf>
    <xf numFmtId="0" fontId="3" fillId="0" borderId="16" xfId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1" fillId="4" borderId="0" xfId="1" applyFill="1" applyAlignment="1">
      <alignment horizontal="left"/>
    </xf>
    <xf numFmtId="0" fontId="1" fillId="4" borderId="16" xfId="1" applyFill="1" applyBorder="1"/>
    <xf numFmtId="0" fontId="1" fillId="3" borderId="5" xfId="1" applyFill="1" applyBorder="1"/>
    <xf numFmtId="0" fontId="1" fillId="4" borderId="5" xfId="1" applyFill="1" applyBorder="1"/>
    <xf numFmtId="0" fontId="1" fillId="3" borderId="5" xfId="0" applyFont="1" applyFill="1" applyBorder="1" applyAlignment="1">
      <alignment horizontal="left" vertical="center"/>
    </xf>
    <xf numFmtId="0" fontId="1" fillId="4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 vertical="center"/>
    </xf>
    <xf numFmtId="0" fontId="1" fillId="4" borderId="19" xfId="0" applyFont="1" applyFill="1" applyBorder="1" applyAlignment="1">
      <alignment horizontal="left" vertical="center"/>
    </xf>
    <xf numFmtId="0" fontId="1" fillId="12" borderId="3" xfId="0" applyFont="1" applyFill="1" applyBorder="1" applyAlignment="1">
      <alignment horizontal="center" vertical="center"/>
    </xf>
    <xf numFmtId="0" fontId="1" fillId="2" borderId="5" xfId="1" applyFill="1" applyBorder="1"/>
    <xf numFmtId="0" fontId="1" fillId="6" borderId="5" xfId="1" applyFill="1" applyBorder="1"/>
    <xf numFmtId="0" fontId="1" fillId="13" borderId="4" xfId="0" applyFont="1" applyFill="1" applyBorder="1" applyAlignment="1">
      <alignment horizontal="left"/>
    </xf>
    <xf numFmtId="0" fontId="1" fillId="4" borderId="19" xfId="1" applyFill="1" applyBorder="1"/>
    <xf numFmtId="0" fontId="1" fillId="6" borderId="5" xfId="0" applyFont="1" applyFill="1" applyBorder="1" applyAlignment="1">
      <alignment horizontal="center" vertical="center"/>
    </xf>
    <xf numFmtId="0" fontId="1" fillId="4" borderId="18" xfId="1" applyFill="1" applyBorder="1"/>
    <xf numFmtId="0" fontId="1" fillId="3" borderId="39" xfId="1" applyFill="1" applyBorder="1"/>
    <xf numFmtId="0" fontId="1" fillId="8" borderId="21" xfId="0" applyFont="1" applyFill="1" applyBorder="1" applyAlignment="1">
      <alignment horizontal="left"/>
    </xf>
    <xf numFmtId="0" fontId="1" fillId="6" borderId="21" xfId="1" applyFill="1" applyBorder="1"/>
    <xf numFmtId="0" fontId="1" fillId="6" borderId="38" xfId="1" applyFill="1" applyBorder="1"/>
    <xf numFmtId="0" fontId="1" fillId="12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10" borderId="5" xfId="0" applyFont="1" applyFill="1" applyBorder="1" applyAlignment="1">
      <alignment horizontal="center" vertical="center"/>
    </xf>
    <xf numFmtId="164" fontId="1" fillId="0" borderId="0" xfId="1" applyNumberFormat="1" applyAlignment="1">
      <alignment horizontal="center" vertical="center"/>
    </xf>
    <xf numFmtId="0" fontId="1" fillId="14" borderId="14" xfId="1" applyFill="1" applyBorder="1" applyAlignment="1">
      <alignment horizontal="center" vertical="center"/>
    </xf>
    <xf numFmtId="0" fontId="0" fillId="14" borderId="0" xfId="0" applyFill="1"/>
    <xf numFmtId="0" fontId="1" fillId="14" borderId="17" xfId="1" applyFill="1" applyBorder="1" applyAlignment="1">
      <alignment horizontal="center" vertical="center"/>
    </xf>
    <xf numFmtId="164" fontId="0" fillId="14" borderId="15" xfId="0" applyNumberFormat="1" applyFill="1" applyBorder="1"/>
    <xf numFmtId="0" fontId="0" fillId="14" borderId="15" xfId="0" applyFill="1" applyBorder="1"/>
    <xf numFmtId="164" fontId="0" fillId="14" borderId="18" xfId="0" applyNumberFormat="1" applyFill="1" applyBorder="1"/>
    <xf numFmtId="0" fontId="1" fillId="4" borderId="14" xfId="1" applyFill="1" applyBorder="1"/>
    <xf numFmtId="0" fontId="1" fillId="3" borderId="34" xfId="0" applyFont="1" applyFill="1" applyBorder="1" applyAlignment="1">
      <alignment horizontal="left"/>
    </xf>
    <xf numFmtId="0" fontId="1" fillId="4" borderId="34" xfId="0" applyFont="1" applyFill="1" applyBorder="1" applyAlignment="1">
      <alignment horizontal="left"/>
    </xf>
    <xf numFmtId="0" fontId="1" fillId="3" borderId="0" xfId="1" applyFill="1" applyAlignment="1">
      <alignment vertical="center"/>
    </xf>
    <xf numFmtId="0" fontId="1" fillId="4" borderId="48" xfId="0" applyFont="1" applyFill="1" applyBorder="1" applyAlignment="1">
      <alignment horizontal="left"/>
    </xf>
    <xf numFmtId="0" fontId="1" fillId="6" borderId="34" xfId="1" applyFill="1" applyBorder="1"/>
    <xf numFmtId="0" fontId="1" fillId="6" borderId="34" xfId="0" applyFont="1" applyFill="1" applyBorder="1" applyAlignment="1">
      <alignment horizontal="left"/>
    </xf>
    <xf numFmtId="0" fontId="1" fillId="6" borderId="4" xfId="1" applyFill="1" applyBorder="1"/>
    <xf numFmtId="0" fontId="1" fillId="6" borderId="0" xfId="1" applyFill="1" applyAlignment="1">
      <alignment vertical="center"/>
    </xf>
    <xf numFmtId="0" fontId="1" fillId="6" borderId="48" xfId="0" applyFont="1" applyFill="1" applyBorder="1" applyAlignment="1">
      <alignment horizontal="left"/>
    </xf>
    <xf numFmtId="0" fontId="4" fillId="6" borderId="34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left"/>
    </xf>
    <xf numFmtId="0" fontId="1" fillId="9" borderId="15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1" fillId="9" borderId="18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12" borderId="3" xfId="0" applyFont="1" applyFill="1" applyBorder="1" applyAlignment="1">
      <alignment horizontal="left"/>
    </xf>
    <xf numFmtId="164" fontId="0" fillId="14" borderId="15" xfId="0" applyNumberFormat="1" applyFill="1" applyBorder="1" applyAlignment="1">
      <alignment horizontal="center"/>
    </xf>
    <xf numFmtId="164" fontId="0" fillId="14" borderId="18" xfId="0" applyNumberFormat="1" applyFill="1" applyBorder="1" applyAlignment="1">
      <alignment horizontal="center"/>
    </xf>
    <xf numFmtId="0" fontId="3" fillId="0" borderId="9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9" xfId="1" applyFont="1" applyBorder="1" applyAlignment="1">
      <alignment horizontal="center"/>
    </xf>
    <xf numFmtId="164" fontId="1" fillId="14" borderId="15" xfId="1" applyNumberFormat="1" applyFill="1" applyBorder="1" applyAlignment="1">
      <alignment horizontal="center" vertical="center"/>
    </xf>
    <xf numFmtId="164" fontId="1" fillId="14" borderId="18" xfId="1" applyNumberFormat="1" applyFill="1" applyBorder="1" applyAlignment="1">
      <alignment horizontal="center" vertical="center"/>
    </xf>
    <xf numFmtId="0" fontId="1" fillId="4" borderId="21" xfId="1" applyFill="1" applyBorder="1"/>
    <xf numFmtId="0" fontId="1" fillId="4" borderId="38" xfId="1" applyFill="1" applyBorder="1"/>
    <xf numFmtId="0" fontId="1" fillId="4" borderId="39" xfId="1" applyFill="1" applyBorder="1"/>
    <xf numFmtId="0" fontId="1" fillId="3" borderId="21" xfId="1" applyFill="1" applyBorder="1"/>
    <xf numFmtId="0" fontId="1" fillId="3" borderId="38" xfId="1" applyFill="1" applyBorder="1"/>
    <xf numFmtId="0" fontId="1" fillId="3" borderId="39" xfId="1" applyFill="1" applyBorder="1"/>
    <xf numFmtId="0" fontId="1" fillId="4" borderId="22" xfId="1" applyFill="1" applyBorder="1"/>
    <xf numFmtId="0" fontId="1" fillId="4" borderId="35" xfId="1" applyFill="1" applyBorder="1"/>
    <xf numFmtId="0" fontId="1" fillId="4" borderId="36" xfId="1" applyFill="1" applyBorder="1"/>
    <xf numFmtId="0" fontId="1" fillId="4" borderId="37" xfId="1" applyFill="1" applyBorder="1"/>
    <xf numFmtId="164" fontId="1" fillId="14" borderId="19" xfId="1" applyNumberFormat="1" applyFill="1" applyBorder="1" applyAlignment="1">
      <alignment horizontal="center" vertical="center"/>
    </xf>
    <xf numFmtId="0" fontId="1" fillId="4" borderId="43" xfId="1" applyFill="1" applyBorder="1" applyAlignment="1">
      <alignment horizontal="center"/>
    </xf>
    <xf numFmtId="0" fontId="1" fillId="4" borderId="44" xfId="1" applyFill="1" applyBorder="1" applyAlignment="1">
      <alignment horizontal="center"/>
    </xf>
    <xf numFmtId="0" fontId="1" fillId="4" borderId="45" xfId="1" applyFill="1" applyBorder="1" applyAlignment="1">
      <alignment horizontal="center"/>
    </xf>
    <xf numFmtId="164" fontId="1" fillId="14" borderId="16" xfId="1" applyNumberFormat="1" applyFill="1" applyBorder="1" applyAlignment="1">
      <alignment horizontal="center" vertical="center"/>
    </xf>
    <xf numFmtId="0" fontId="2" fillId="4" borderId="29" xfId="1" applyFont="1" applyFill="1" applyBorder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2" fillId="4" borderId="10" xfId="1" applyFont="1" applyFill="1" applyBorder="1" applyAlignment="1">
      <alignment horizontal="center" vertical="center"/>
    </xf>
    <xf numFmtId="0" fontId="2" fillId="4" borderId="12" xfId="1" applyFont="1" applyFill="1" applyBorder="1" applyAlignment="1">
      <alignment horizontal="center" vertical="center"/>
    </xf>
    <xf numFmtId="0" fontId="2" fillId="4" borderId="20" xfId="1" applyFont="1" applyFill="1" applyBorder="1" applyAlignment="1">
      <alignment horizontal="center" vertical="center"/>
    </xf>
    <xf numFmtId="0" fontId="2" fillId="4" borderId="23" xfId="1" applyFont="1" applyFill="1" applyBorder="1" applyAlignment="1">
      <alignment horizontal="center" vertical="center"/>
    </xf>
    <xf numFmtId="0" fontId="1" fillId="4" borderId="35" xfId="1" applyFill="1" applyBorder="1" applyAlignment="1">
      <alignment horizontal="left"/>
    </xf>
    <xf numFmtId="0" fontId="1" fillId="4" borderId="36" xfId="1" applyFill="1" applyBorder="1" applyAlignment="1">
      <alignment horizontal="left"/>
    </xf>
    <xf numFmtId="0" fontId="1" fillId="4" borderId="37" xfId="1" applyFill="1" applyBorder="1" applyAlignment="1">
      <alignment horizontal="left"/>
    </xf>
    <xf numFmtId="0" fontId="1" fillId="2" borderId="21" xfId="1" applyFill="1" applyBorder="1" applyAlignment="1">
      <alignment horizontal="center"/>
    </xf>
    <xf numFmtId="0" fontId="1" fillId="2" borderId="38" xfId="1" applyFill="1" applyBorder="1" applyAlignment="1">
      <alignment horizontal="center"/>
    </xf>
    <xf numFmtId="0" fontId="1" fillId="2" borderId="39" xfId="1" applyFill="1" applyBorder="1" applyAlignment="1">
      <alignment horizontal="center"/>
    </xf>
    <xf numFmtId="0" fontId="1" fillId="4" borderId="21" xfId="1" applyFill="1" applyBorder="1" applyAlignment="1">
      <alignment horizontal="center"/>
    </xf>
    <xf numFmtId="0" fontId="1" fillId="4" borderId="38" xfId="1" applyFill="1" applyBorder="1" applyAlignment="1">
      <alignment horizontal="center"/>
    </xf>
    <xf numFmtId="0" fontId="1" fillId="4" borderId="39" xfId="1" applyFill="1" applyBorder="1" applyAlignment="1">
      <alignment horizontal="center"/>
    </xf>
    <xf numFmtId="0" fontId="1" fillId="0" borderId="26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5" borderId="9" xfId="1" applyFill="1" applyBorder="1" applyAlignment="1">
      <alignment horizontal="center" vertical="center"/>
    </xf>
    <xf numFmtId="0" fontId="1" fillId="5" borderId="11" xfId="1" applyFill="1" applyBorder="1" applyAlignment="1">
      <alignment horizontal="center" vertical="center"/>
    </xf>
    <xf numFmtId="0" fontId="1" fillId="3" borderId="21" xfId="1" applyFill="1" applyBorder="1" applyAlignment="1">
      <alignment horizontal="left"/>
    </xf>
    <xf numFmtId="0" fontId="1" fillId="3" borderId="38" xfId="1" applyFill="1" applyBorder="1" applyAlignment="1">
      <alignment horizontal="left"/>
    </xf>
    <xf numFmtId="0" fontId="1" fillId="3" borderId="39" xfId="1" applyFill="1" applyBorder="1" applyAlignment="1">
      <alignment horizontal="left"/>
    </xf>
    <xf numFmtId="0" fontId="1" fillId="4" borderId="21" xfId="1" applyFill="1" applyBorder="1" applyAlignment="1">
      <alignment horizontal="left"/>
    </xf>
    <xf numFmtId="0" fontId="1" fillId="4" borderId="38" xfId="1" applyFill="1" applyBorder="1" applyAlignment="1">
      <alignment horizontal="left"/>
    </xf>
    <xf numFmtId="0" fontId="1" fillId="4" borderId="39" xfId="1" applyFill="1" applyBorder="1" applyAlignment="1">
      <alignment horizontal="left"/>
    </xf>
    <xf numFmtId="0" fontId="1" fillId="0" borderId="46" xfId="1" applyBorder="1" applyAlignment="1">
      <alignment horizontal="center"/>
    </xf>
    <xf numFmtId="0" fontId="1" fillId="0" borderId="47" xfId="1" applyBorder="1" applyAlignment="1">
      <alignment horizontal="center"/>
    </xf>
    <xf numFmtId="0" fontId="1" fillId="4" borderId="43" xfId="1" applyFill="1" applyBorder="1"/>
    <xf numFmtId="0" fontId="1" fillId="4" borderId="44" xfId="1" applyFill="1" applyBorder="1"/>
    <xf numFmtId="0" fontId="1" fillId="4" borderId="45" xfId="1" applyFill="1" applyBorder="1"/>
    <xf numFmtId="0" fontId="1" fillId="3" borderId="21" xfId="1" applyFill="1" applyBorder="1" applyAlignment="1">
      <alignment horizontal="center"/>
    </xf>
    <xf numFmtId="0" fontId="1" fillId="3" borderId="38" xfId="1" applyFill="1" applyBorder="1" applyAlignment="1">
      <alignment horizontal="center"/>
    </xf>
    <xf numFmtId="0" fontId="1" fillId="3" borderId="39" xfId="1" applyFill="1" applyBorder="1" applyAlignment="1">
      <alignment horizontal="center"/>
    </xf>
    <xf numFmtId="0" fontId="1" fillId="3" borderId="7" xfId="1" applyFill="1" applyBorder="1" applyAlignment="1">
      <alignment horizontal="left"/>
    </xf>
    <xf numFmtId="0" fontId="1" fillId="3" borderId="8" xfId="1" applyFill="1" applyBorder="1" applyAlignment="1">
      <alignment horizontal="left"/>
    </xf>
    <xf numFmtId="0" fontId="1" fillId="3" borderId="9" xfId="1" applyFill="1" applyBorder="1" applyAlignment="1">
      <alignment horizontal="left"/>
    </xf>
    <xf numFmtId="0" fontId="2" fillId="4" borderId="29" xfId="1" applyFont="1" applyFill="1" applyBorder="1" applyAlignment="1">
      <alignment horizontal="left" vertical="center"/>
    </xf>
    <xf numFmtId="0" fontId="2" fillId="4" borderId="0" xfId="1" applyFont="1" applyFill="1" applyAlignment="1">
      <alignment horizontal="left" vertical="center"/>
    </xf>
    <xf numFmtId="0" fontId="2" fillId="4" borderId="10" xfId="1" applyFont="1" applyFill="1" applyBorder="1" applyAlignment="1">
      <alignment horizontal="left" vertical="center"/>
    </xf>
    <xf numFmtId="0" fontId="1" fillId="3" borderId="40" xfId="1" applyFill="1" applyBorder="1" applyAlignment="1">
      <alignment horizontal="left"/>
    </xf>
    <xf numFmtId="0" fontId="1" fillId="3" borderId="41" xfId="1" applyFill="1" applyBorder="1" applyAlignment="1">
      <alignment horizontal="left"/>
    </xf>
    <xf numFmtId="0" fontId="1" fillId="3" borderId="42" xfId="1" applyFill="1" applyBorder="1" applyAlignment="1">
      <alignment horizontal="left"/>
    </xf>
    <xf numFmtId="0" fontId="1" fillId="9" borderId="21" xfId="0" applyFont="1" applyFill="1" applyBorder="1" applyAlignment="1">
      <alignment horizontal="left"/>
    </xf>
    <xf numFmtId="0" fontId="1" fillId="9" borderId="38" xfId="0" applyFont="1" applyFill="1" applyBorder="1" applyAlignment="1">
      <alignment horizontal="left"/>
    </xf>
    <xf numFmtId="0" fontId="1" fillId="9" borderId="39" xfId="0" applyFont="1" applyFill="1" applyBorder="1" applyAlignment="1">
      <alignment horizontal="left"/>
    </xf>
    <xf numFmtId="0" fontId="1" fillId="4" borderId="22" xfId="1" applyFill="1" applyBorder="1" applyAlignment="1">
      <alignment horizontal="left"/>
    </xf>
    <xf numFmtId="0" fontId="1" fillId="0" borderId="11" xfId="1" applyBorder="1" applyAlignment="1">
      <alignment horizontal="center" vertical="center"/>
    </xf>
    <xf numFmtId="0" fontId="3" fillId="7" borderId="46" xfId="0" applyFont="1" applyFill="1" applyBorder="1" applyAlignment="1">
      <alignment horizontal="center" vertical="center"/>
    </xf>
    <xf numFmtId="0" fontId="3" fillId="7" borderId="47" xfId="0" applyFont="1" applyFill="1" applyBorder="1" applyAlignment="1">
      <alignment horizontal="center" vertical="center"/>
    </xf>
    <xf numFmtId="0" fontId="1" fillId="4" borderId="35" xfId="1" applyFill="1" applyBorder="1" applyAlignment="1">
      <alignment horizontal="center"/>
    </xf>
    <xf numFmtId="0" fontId="1" fillId="4" borderId="36" xfId="1" applyFill="1" applyBorder="1" applyAlignment="1">
      <alignment horizontal="center"/>
    </xf>
    <xf numFmtId="0" fontId="1" fillId="4" borderId="37" xfId="1" applyFill="1" applyBorder="1" applyAlignment="1">
      <alignment horizontal="center"/>
    </xf>
    <xf numFmtId="0" fontId="2" fillId="4" borderId="35" xfId="1" applyFont="1" applyFill="1" applyBorder="1" applyAlignment="1">
      <alignment horizontal="center"/>
    </xf>
    <xf numFmtId="0" fontId="2" fillId="4" borderId="36" xfId="1" applyFont="1" applyFill="1" applyBorder="1" applyAlignment="1">
      <alignment horizontal="center"/>
    </xf>
    <xf numFmtId="0" fontId="2" fillId="4" borderId="37" xfId="1" applyFont="1" applyFill="1" applyBorder="1" applyAlignment="1">
      <alignment horizontal="center"/>
    </xf>
    <xf numFmtId="0" fontId="1" fillId="4" borderId="40" xfId="1" applyFill="1" applyBorder="1" applyAlignment="1">
      <alignment horizontal="center"/>
    </xf>
    <xf numFmtId="0" fontId="1" fillId="4" borderId="41" xfId="1" applyFill="1" applyBorder="1" applyAlignment="1">
      <alignment horizontal="center"/>
    </xf>
    <xf numFmtId="0" fontId="1" fillId="4" borderId="42" xfId="1" applyFill="1" applyBorder="1" applyAlignment="1">
      <alignment horizontal="center"/>
    </xf>
    <xf numFmtId="0" fontId="1" fillId="0" borderId="28" xfId="1" applyBorder="1" applyAlignment="1">
      <alignment horizontal="center" vertical="center"/>
    </xf>
    <xf numFmtId="0" fontId="1" fillId="13" borderId="21" xfId="0" applyFont="1" applyFill="1" applyBorder="1" applyAlignment="1">
      <alignment horizontal="center"/>
    </xf>
    <xf numFmtId="0" fontId="1" fillId="13" borderId="38" xfId="0" applyFont="1" applyFill="1" applyBorder="1" applyAlignment="1">
      <alignment horizontal="center"/>
    </xf>
    <xf numFmtId="0" fontId="1" fillId="13" borderId="39" xfId="0" applyFont="1" applyFill="1" applyBorder="1" applyAlignment="1">
      <alignment horizontal="center"/>
    </xf>
    <xf numFmtId="0" fontId="3" fillId="0" borderId="46" xfId="1" applyFont="1" applyBorder="1" applyAlignment="1">
      <alignment horizontal="center"/>
    </xf>
    <xf numFmtId="0" fontId="3" fillId="0" borderId="47" xfId="1" applyFont="1" applyBorder="1" applyAlignment="1">
      <alignment horizontal="center"/>
    </xf>
    <xf numFmtId="0" fontId="2" fillId="6" borderId="7" xfId="1" applyFont="1" applyFill="1" applyBorder="1" applyAlignment="1">
      <alignment horizontal="center"/>
    </xf>
    <xf numFmtId="0" fontId="2" fillId="6" borderId="9" xfId="1" applyFont="1" applyFill="1" applyBorder="1" applyAlignment="1">
      <alignment horizontal="center"/>
    </xf>
    <xf numFmtId="0" fontId="1" fillId="6" borderId="21" xfId="1" applyFill="1" applyBorder="1" applyAlignment="1">
      <alignment horizontal="center"/>
    </xf>
    <xf numFmtId="0" fontId="1" fillId="6" borderId="38" xfId="1" applyFill="1" applyBorder="1" applyAlignment="1">
      <alignment horizontal="center"/>
    </xf>
    <xf numFmtId="0" fontId="1" fillId="6" borderId="39" xfId="1" applyFill="1" applyBorder="1" applyAlignment="1">
      <alignment horizontal="center"/>
    </xf>
    <xf numFmtId="0" fontId="1" fillId="4" borderId="7" xfId="1" applyFill="1" applyBorder="1" applyAlignment="1">
      <alignment horizontal="center"/>
    </xf>
    <xf numFmtId="0" fontId="1" fillId="4" borderId="8" xfId="1" applyFill="1" applyBorder="1" applyAlignment="1">
      <alignment horizontal="center"/>
    </xf>
    <xf numFmtId="0" fontId="1" fillId="0" borderId="0" xfId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11" xfId="1" applyBorder="1" applyAlignment="1">
      <alignment horizontal="center"/>
    </xf>
    <xf numFmtId="0" fontId="1" fillId="7" borderId="29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E4988E07-D0C6-9C46-B525-87869DA09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ACEB2-C3D8-D545-89AD-0002029F9000}">
  <sheetPr>
    <pageSetUpPr fitToPage="1"/>
  </sheetPr>
  <dimension ref="A1:S42"/>
  <sheetViews>
    <sheetView tabSelected="1" zoomScale="125" zoomScaleNormal="150" workbookViewId="0">
      <selection activeCell="A29" sqref="A29:XFD29"/>
    </sheetView>
  </sheetViews>
  <sheetFormatPr baseColWidth="10" defaultRowHeight="16" x14ac:dyDescent="0.2"/>
  <cols>
    <col min="1" max="1" width="11.6640625" style="1" customWidth="1"/>
    <col min="2" max="12" width="15.83203125" style="1" customWidth="1"/>
    <col min="13" max="13" width="15.6640625" style="1" customWidth="1"/>
    <col min="14" max="18" width="15.83203125" style="1" customWidth="1"/>
    <col min="19" max="19" width="15.6640625" style="1" customWidth="1"/>
  </cols>
  <sheetData>
    <row r="1" spans="1:19" x14ac:dyDescent="0.2">
      <c r="A1" s="184" t="s">
        <v>6</v>
      </c>
      <c r="B1" s="186" t="s">
        <v>20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spans="1:19" s="56" customFormat="1" x14ac:dyDescent="0.2">
      <c r="A2" s="185"/>
      <c r="B2" s="147" t="s">
        <v>5</v>
      </c>
      <c r="C2" s="148"/>
      <c r="D2" s="148"/>
      <c r="E2" s="148" t="s">
        <v>4</v>
      </c>
      <c r="F2" s="148"/>
      <c r="G2" s="148"/>
      <c r="H2" s="147" t="s">
        <v>321</v>
      </c>
      <c r="I2" s="148"/>
      <c r="J2" s="148"/>
      <c r="K2" s="148" t="s">
        <v>3</v>
      </c>
      <c r="L2" s="148"/>
      <c r="M2" s="148"/>
      <c r="N2" s="148" t="s">
        <v>2</v>
      </c>
      <c r="O2" s="148"/>
      <c r="P2" s="148"/>
      <c r="Q2" s="148" t="s">
        <v>1</v>
      </c>
      <c r="R2" s="148"/>
      <c r="S2" s="148"/>
    </row>
    <row r="3" spans="1:19" x14ac:dyDescent="0.2">
      <c r="A3" s="185"/>
      <c r="B3" s="11" t="s">
        <v>52</v>
      </c>
      <c r="C3" s="11" t="s">
        <v>51</v>
      </c>
      <c r="D3" s="11" t="s">
        <v>53</v>
      </c>
      <c r="E3" s="11" t="s">
        <v>52</v>
      </c>
      <c r="F3" s="11" t="s">
        <v>51</v>
      </c>
      <c r="G3" s="11" t="s">
        <v>53</v>
      </c>
      <c r="H3" s="11" t="s">
        <v>52</v>
      </c>
      <c r="I3" s="11" t="s">
        <v>51</v>
      </c>
      <c r="J3" s="11" t="s">
        <v>53</v>
      </c>
      <c r="K3" s="11" t="s">
        <v>52</v>
      </c>
      <c r="L3" s="11" t="s">
        <v>51</v>
      </c>
      <c r="M3" s="11" t="s">
        <v>53</v>
      </c>
      <c r="N3" s="11" t="s">
        <v>52</v>
      </c>
      <c r="O3" s="11" t="s">
        <v>51</v>
      </c>
      <c r="P3" s="11" t="s">
        <v>53</v>
      </c>
      <c r="Q3" s="11" t="s">
        <v>52</v>
      </c>
      <c r="R3" s="11" t="s">
        <v>51</v>
      </c>
      <c r="S3" s="11" t="s">
        <v>53</v>
      </c>
    </row>
    <row r="4" spans="1:19" x14ac:dyDescent="0.2">
      <c r="A4" s="19">
        <v>1</v>
      </c>
      <c r="B4" s="81" t="s">
        <v>0</v>
      </c>
      <c r="C4" s="81" t="s">
        <v>0</v>
      </c>
      <c r="D4" s="81" t="s">
        <v>0</v>
      </c>
      <c r="E4" s="175" t="s">
        <v>147</v>
      </c>
      <c r="F4" s="176"/>
      <c r="G4" s="177"/>
      <c r="H4" s="127" t="s">
        <v>331</v>
      </c>
      <c r="I4" s="127" t="s">
        <v>331</v>
      </c>
      <c r="J4" s="127" t="s">
        <v>331</v>
      </c>
      <c r="K4" s="84" t="s">
        <v>182</v>
      </c>
      <c r="L4" s="84" t="s">
        <v>183</v>
      </c>
      <c r="M4" s="84" t="s">
        <v>184</v>
      </c>
      <c r="N4" s="172" t="s">
        <v>120</v>
      </c>
      <c r="O4" s="173"/>
      <c r="P4" s="174"/>
      <c r="Q4" s="161" t="s">
        <v>274</v>
      </c>
      <c r="R4" s="162"/>
      <c r="S4" s="163"/>
    </row>
    <row r="5" spans="1:19" x14ac:dyDescent="0.2">
      <c r="A5" s="18">
        <v>2</v>
      </c>
      <c r="B5" s="181" t="s">
        <v>63</v>
      </c>
      <c r="C5" s="182"/>
      <c r="D5" s="183"/>
      <c r="E5" s="3" t="s">
        <v>150</v>
      </c>
      <c r="F5" s="3" t="s">
        <v>149</v>
      </c>
      <c r="G5" s="3" t="s">
        <v>148</v>
      </c>
      <c r="H5" s="80" t="s">
        <v>332</v>
      </c>
      <c r="I5" s="80" t="s">
        <v>332</v>
      </c>
      <c r="J5" s="80" t="s">
        <v>332</v>
      </c>
      <c r="K5" s="50" t="s">
        <v>185</v>
      </c>
      <c r="L5" s="50" t="s">
        <v>185</v>
      </c>
      <c r="M5" s="50" t="s">
        <v>186</v>
      </c>
      <c r="N5" s="169" t="s">
        <v>15</v>
      </c>
      <c r="O5" s="170"/>
      <c r="P5" s="171"/>
      <c r="Q5" s="154" t="s">
        <v>275</v>
      </c>
      <c r="R5" s="155"/>
      <c r="S5" s="156"/>
    </row>
    <row r="6" spans="1:19" x14ac:dyDescent="0.2">
      <c r="A6" s="18">
        <v>3</v>
      </c>
      <c r="B6" s="188" t="s">
        <v>137</v>
      </c>
      <c r="C6" s="189"/>
      <c r="D6" s="190"/>
      <c r="E6" s="191" t="s">
        <v>81</v>
      </c>
      <c r="F6" s="192"/>
      <c r="G6" s="193"/>
      <c r="H6" s="127" t="s">
        <v>333</v>
      </c>
      <c r="I6" s="127" t="s">
        <v>333</v>
      </c>
      <c r="J6" s="127" t="s">
        <v>333</v>
      </c>
      <c r="K6" s="85" t="s">
        <v>187</v>
      </c>
      <c r="L6" s="70" t="s">
        <v>188</v>
      </c>
      <c r="M6" s="85" t="s">
        <v>189</v>
      </c>
      <c r="N6" s="169" t="s">
        <v>15</v>
      </c>
      <c r="O6" s="170"/>
      <c r="P6" s="171"/>
      <c r="Q6" s="154" t="s">
        <v>276</v>
      </c>
      <c r="R6" s="155"/>
      <c r="S6" s="156"/>
    </row>
    <row r="7" spans="1:19" x14ac:dyDescent="0.2">
      <c r="A7" s="18">
        <v>4</v>
      </c>
      <c r="B7" s="181" t="s">
        <v>63</v>
      </c>
      <c r="C7" s="182"/>
      <c r="D7" s="183"/>
      <c r="E7" s="188" t="s">
        <v>151</v>
      </c>
      <c r="F7" s="189"/>
      <c r="G7" s="190"/>
      <c r="H7" s="81" t="s">
        <v>0</v>
      </c>
      <c r="I7" s="81" t="s">
        <v>0</v>
      </c>
      <c r="J7" s="80" t="s">
        <v>334</v>
      </c>
      <c r="K7" s="50" t="s">
        <v>191</v>
      </c>
      <c r="L7" s="50" t="s">
        <v>192</v>
      </c>
      <c r="M7" s="50" t="s">
        <v>190</v>
      </c>
      <c r="N7" s="169" t="s">
        <v>15</v>
      </c>
      <c r="O7" s="170"/>
      <c r="P7" s="171"/>
      <c r="Q7" s="154" t="s">
        <v>277</v>
      </c>
      <c r="R7" s="155"/>
      <c r="S7" s="156"/>
    </row>
    <row r="8" spans="1:19" x14ac:dyDescent="0.2">
      <c r="A8" s="18">
        <v>5</v>
      </c>
      <c r="B8" s="81" t="s">
        <v>0</v>
      </c>
      <c r="C8" s="81" t="s">
        <v>0</v>
      </c>
      <c r="D8" s="81" t="s">
        <v>0</v>
      </c>
      <c r="E8" s="191" t="s">
        <v>152</v>
      </c>
      <c r="F8" s="192"/>
      <c r="G8" s="193"/>
      <c r="H8" s="80" t="s">
        <v>335</v>
      </c>
      <c r="I8" s="80" t="s">
        <v>335</v>
      </c>
      <c r="J8" s="80" t="s">
        <v>335</v>
      </c>
      <c r="K8" s="178" t="s">
        <v>193</v>
      </c>
      <c r="L8" s="179"/>
      <c r="M8" s="180"/>
      <c r="N8" s="169" t="s">
        <v>15</v>
      </c>
      <c r="O8" s="170"/>
      <c r="P8" s="171"/>
      <c r="Q8" s="154" t="s">
        <v>278</v>
      </c>
      <c r="R8" s="155"/>
      <c r="S8" s="156"/>
    </row>
    <row r="9" spans="1:19" x14ac:dyDescent="0.2">
      <c r="A9" s="18">
        <v>6</v>
      </c>
      <c r="B9" s="81" t="s">
        <v>0</v>
      </c>
      <c r="C9" s="81" t="s">
        <v>0</v>
      </c>
      <c r="D9" s="81" t="s">
        <v>0</v>
      </c>
      <c r="E9" s="188" t="s">
        <v>153</v>
      </c>
      <c r="F9" s="189"/>
      <c r="G9" s="190"/>
      <c r="H9" s="80" t="s">
        <v>336</v>
      </c>
      <c r="I9" s="80" t="s">
        <v>336</v>
      </c>
      <c r="J9" s="80" t="s">
        <v>336</v>
      </c>
      <c r="K9" s="86" t="s">
        <v>195</v>
      </c>
      <c r="L9" s="86" t="s">
        <v>196</v>
      </c>
      <c r="M9" s="86" t="s">
        <v>197</v>
      </c>
      <c r="N9" s="169" t="s">
        <v>15</v>
      </c>
      <c r="O9" s="170"/>
      <c r="P9" s="171"/>
      <c r="Q9" s="154" t="s">
        <v>279</v>
      </c>
      <c r="R9" s="155"/>
      <c r="S9" s="156"/>
    </row>
    <row r="10" spans="1:19" x14ac:dyDescent="0.2">
      <c r="A10" s="18">
        <v>7</v>
      </c>
      <c r="B10" s="81" t="s">
        <v>0</v>
      </c>
      <c r="C10" s="81" t="s">
        <v>0</v>
      </c>
      <c r="D10" s="81" t="s">
        <v>0</v>
      </c>
      <c r="E10" s="191" t="s">
        <v>154</v>
      </c>
      <c r="F10" s="192"/>
      <c r="G10" s="193"/>
      <c r="H10" s="80" t="s">
        <v>28</v>
      </c>
      <c r="I10" s="80" t="s">
        <v>28</v>
      </c>
      <c r="J10" s="80" t="s">
        <v>28</v>
      </c>
      <c r="K10" s="181" t="s">
        <v>194</v>
      </c>
      <c r="L10" s="182"/>
      <c r="M10" s="183"/>
      <c r="N10" s="169" t="s">
        <v>120</v>
      </c>
      <c r="O10" s="170"/>
      <c r="P10" s="171"/>
      <c r="Q10" s="154" t="s">
        <v>280</v>
      </c>
      <c r="R10" s="155"/>
      <c r="S10" s="156"/>
    </row>
    <row r="11" spans="1:19" x14ac:dyDescent="0.2">
      <c r="A11" s="18">
        <v>8</v>
      </c>
      <c r="B11" s="81" t="s">
        <v>0</v>
      </c>
      <c r="C11" s="81" t="s">
        <v>0</v>
      </c>
      <c r="D11" s="81" t="s">
        <v>0</v>
      </c>
      <c r="E11" s="50" t="s">
        <v>155</v>
      </c>
      <c r="F11" s="50" t="s">
        <v>155</v>
      </c>
      <c r="G11" s="50" t="s">
        <v>155</v>
      </c>
      <c r="H11" s="81" t="s">
        <v>0</v>
      </c>
      <c r="I11" s="127" t="s">
        <v>245</v>
      </c>
      <c r="J11" s="127" t="s">
        <v>337</v>
      </c>
      <c r="K11" s="181" t="s">
        <v>45</v>
      </c>
      <c r="L11" s="182"/>
      <c r="M11" s="183"/>
      <c r="N11" s="169" t="s">
        <v>120</v>
      </c>
      <c r="O11" s="170"/>
      <c r="P11" s="171"/>
      <c r="Q11" s="79" t="s">
        <v>281</v>
      </c>
      <c r="R11" s="79" t="s">
        <v>281</v>
      </c>
      <c r="S11" s="79" t="s">
        <v>281</v>
      </c>
    </row>
    <row r="12" spans="1:19" x14ac:dyDescent="0.2">
      <c r="A12" s="18">
        <v>9</v>
      </c>
      <c r="B12" s="81" t="s">
        <v>0</v>
      </c>
      <c r="C12" s="81" t="s">
        <v>0</v>
      </c>
      <c r="D12" s="81" t="s">
        <v>0</v>
      </c>
      <c r="E12" s="211" t="s">
        <v>156</v>
      </c>
      <c r="F12" s="212"/>
      <c r="G12" s="213"/>
      <c r="H12" s="80" t="s">
        <v>336</v>
      </c>
      <c r="I12" s="80" t="s">
        <v>336</v>
      </c>
      <c r="J12" s="80" t="s">
        <v>336</v>
      </c>
      <c r="K12" s="3" t="s">
        <v>198</v>
      </c>
      <c r="L12" s="3" t="s">
        <v>126</v>
      </c>
      <c r="M12" s="3" t="s">
        <v>199</v>
      </c>
      <c r="N12" s="169" t="s">
        <v>122</v>
      </c>
      <c r="O12" s="170"/>
      <c r="P12" s="171"/>
      <c r="Q12" s="154" t="s">
        <v>70</v>
      </c>
      <c r="R12" s="155"/>
      <c r="S12" s="156"/>
    </row>
    <row r="13" spans="1:19" x14ac:dyDescent="0.2">
      <c r="A13" s="18">
        <v>10</v>
      </c>
      <c r="B13" s="81" t="s">
        <v>138</v>
      </c>
      <c r="C13" s="81" t="s">
        <v>0</v>
      </c>
      <c r="D13" s="81" t="s">
        <v>0</v>
      </c>
      <c r="E13" s="50" t="s">
        <v>157</v>
      </c>
      <c r="F13" s="50" t="s">
        <v>157</v>
      </c>
      <c r="G13" s="50" t="s">
        <v>158</v>
      </c>
      <c r="H13" s="79" t="s">
        <v>323</v>
      </c>
      <c r="I13" s="79" t="s">
        <v>323</v>
      </c>
      <c r="J13" s="79" t="s">
        <v>323</v>
      </c>
      <c r="K13" s="50" t="s">
        <v>200</v>
      </c>
      <c r="L13" s="50" t="s">
        <v>201</v>
      </c>
      <c r="M13" s="50" t="s">
        <v>202</v>
      </c>
      <c r="N13" s="169" t="s">
        <v>15</v>
      </c>
      <c r="O13" s="170"/>
      <c r="P13" s="171"/>
      <c r="Q13" s="154" t="s">
        <v>282</v>
      </c>
      <c r="R13" s="155"/>
      <c r="S13" s="156"/>
    </row>
    <row r="14" spans="1:19" x14ac:dyDescent="0.2">
      <c r="A14" s="18">
        <v>11</v>
      </c>
      <c r="B14" s="81" t="s">
        <v>138</v>
      </c>
      <c r="C14" s="81" t="s">
        <v>0</v>
      </c>
      <c r="D14" s="81" t="s">
        <v>0</v>
      </c>
      <c r="E14" s="191" t="s">
        <v>159</v>
      </c>
      <c r="F14" s="192"/>
      <c r="G14" s="193"/>
      <c r="H14" s="81" t="s">
        <v>0</v>
      </c>
      <c r="I14" s="81" t="s">
        <v>0</v>
      </c>
      <c r="J14" s="81" t="s">
        <v>0</v>
      </c>
      <c r="K14" s="3" t="s">
        <v>204</v>
      </c>
      <c r="L14" s="3" t="s">
        <v>203</v>
      </c>
      <c r="M14" s="3" t="s">
        <v>205</v>
      </c>
      <c r="N14" s="169" t="s">
        <v>123</v>
      </c>
      <c r="O14" s="170"/>
      <c r="P14" s="171"/>
      <c r="Q14" s="157" t="s">
        <v>28</v>
      </c>
      <c r="R14" s="158"/>
      <c r="S14" s="159"/>
    </row>
    <row r="15" spans="1:19" x14ac:dyDescent="0.2">
      <c r="A15" s="18">
        <v>12</v>
      </c>
      <c r="B15" s="199" t="s">
        <v>139</v>
      </c>
      <c r="C15" s="200"/>
      <c r="D15" s="201"/>
      <c r="E15" s="3" t="s">
        <v>160</v>
      </c>
      <c r="F15" s="214" t="s">
        <v>114</v>
      </c>
      <c r="G15" s="193"/>
      <c r="H15" s="79" t="s">
        <v>323</v>
      </c>
      <c r="I15" s="79" t="s">
        <v>323</v>
      </c>
      <c r="J15" s="79" t="s">
        <v>323</v>
      </c>
      <c r="K15" s="50" t="s">
        <v>206</v>
      </c>
      <c r="L15" s="50" t="s">
        <v>208</v>
      </c>
      <c r="M15" s="50" t="s">
        <v>207</v>
      </c>
      <c r="N15" s="12"/>
      <c r="O15" s="13"/>
      <c r="P15" s="14"/>
      <c r="Q15" s="79" t="s">
        <v>291</v>
      </c>
      <c r="R15" s="160" t="s">
        <v>283</v>
      </c>
      <c r="S15" s="156"/>
    </row>
    <row r="16" spans="1:19" x14ac:dyDescent="0.2">
      <c r="A16" s="18">
        <v>13</v>
      </c>
      <c r="B16" s="81" t="s">
        <v>0</v>
      </c>
      <c r="C16" s="81" t="s">
        <v>0</v>
      </c>
      <c r="D16" s="81" t="s">
        <v>0</v>
      </c>
      <c r="E16" s="191" t="s">
        <v>161</v>
      </c>
      <c r="F16" s="192"/>
      <c r="G16" s="193"/>
      <c r="H16" s="80" t="s">
        <v>338</v>
      </c>
      <c r="I16" s="80" t="s">
        <v>338</v>
      </c>
      <c r="J16" s="80" t="s">
        <v>338</v>
      </c>
      <c r="K16" s="3" t="s">
        <v>209</v>
      </c>
      <c r="L16" s="3" t="s">
        <v>210</v>
      </c>
      <c r="M16" s="3" t="s">
        <v>211</v>
      </c>
      <c r="N16" s="169" t="s">
        <v>15</v>
      </c>
      <c r="O16" s="170"/>
      <c r="P16" s="171"/>
      <c r="Q16" s="154" t="s">
        <v>284</v>
      </c>
      <c r="R16" s="155"/>
      <c r="S16" s="156"/>
    </row>
    <row r="17" spans="1:19" x14ac:dyDescent="0.2">
      <c r="A17" s="18">
        <v>14</v>
      </c>
      <c r="B17" s="188" t="s">
        <v>140</v>
      </c>
      <c r="C17" s="189"/>
      <c r="D17" s="190"/>
      <c r="E17" s="50" t="s">
        <v>146</v>
      </c>
      <c r="F17" s="50" t="s">
        <v>146</v>
      </c>
      <c r="G17" s="50" t="s">
        <v>162</v>
      </c>
      <c r="H17" s="80" t="s">
        <v>339</v>
      </c>
      <c r="I17" s="80" t="s">
        <v>339</v>
      </c>
      <c r="J17" s="80" t="s">
        <v>339</v>
      </c>
      <c r="K17" s="3" t="s">
        <v>213</v>
      </c>
      <c r="L17" s="3" t="s">
        <v>214</v>
      </c>
      <c r="M17" s="87" t="s">
        <v>212</v>
      </c>
      <c r="N17" s="169" t="s">
        <v>120</v>
      </c>
      <c r="O17" s="170"/>
      <c r="P17" s="171"/>
      <c r="Q17" s="157" t="s">
        <v>285</v>
      </c>
      <c r="R17" s="158"/>
      <c r="S17" s="159"/>
    </row>
    <row r="18" spans="1:19" x14ac:dyDescent="0.2">
      <c r="A18" s="18">
        <v>15</v>
      </c>
      <c r="B18" s="81" t="s">
        <v>0</v>
      </c>
      <c r="C18" s="81" t="s">
        <v>0</v>
      </c>
      <c r="D18" s="67" t="s">
        <v>380</v>
      </c>
      <c r="E18" s="191" t="s">
        <v>163</v>
      </c>
      <c r="F18" s="192"/>
      <c r="G18" s="193"/>
      <c r="H18" s="80" t="s">
        <v>340</v>
      </c>
      <c r="I18" s="80" t="s">
        <v>341</v>
      </c>
      <c r="J18" s="80" t="s">
        <v>342</v>
      </c>
      <c r="K18" s="86" t="s">
        <v>215</v>
      </c>
      <c r="L18" s="86" t="s">
        <v>216</v>
      </c>
      <c r="M18" s="86" t="s">
        <v>217</v>
      </c>
      <c r="N18" s="169" t="s">
        <v>15</v>
      </c>
      <c r="O18" s="170"/>
      <c r="P18" s="171"/>
      <c r="Q18" s="79" t="s">
        <v>286</v>
      </c>
      <c r="R18" s="79" t="s">
        <v>287</v>
      </c>
      <c r="S18" s="79" t="s">
        <v>288</v>
      </c>
    </row>
    <row r="19" spans="1:19" x14ac:dyDescent="0.2">
      <c r="A19" s="18">
        <v>16</v>
      </c>
      <c r="B19" s="81" t="s">
        <v>0</v>
      </c>
      <c r="C19" s="81" t="s">
        <v>0</v>
      </c>
      <c r="D19" s="81" t="s">
        <v>0</v>
      </c>
      <c r="E19" s="205" t="s">
        <v>15</v>
      </c>
      <c r="F19" s="206"/>
      <c r="G19" s="207"/>
      <c r="H19" s="81" t="s">
        <v>0</v>
      </c>
      <c r="I19" s="80" t="s">
        <v>343</v>
      </c>
      <c r="J19" s="80" t="s">
        <v>334</v>
      </c>
      <c r="K19" s="3" t="s">
        <v>226</v>
      </c>
      <c r="L19" s="3" t="s">
        <v>227</v>
      </c>
      <c r="M19" s="3" t="s">
        <v>227</v>
      </c>
      <c r="N19" s="12"/>
      <c r="O19" s="13"/>
      <c r="P19" s="14"/>
      <c r="Q19" s="79" t="s">
        <v>290</v>
      </c>
      <c r="R19" s="79" t="s">
        <v>289</v>
      </c>
      <c r="S19" s="79" t="s">
        <v>194</v>
      </c>
    </row>
    <row r="20" spans="1:19" x14ac:dyDescent="0.2">
      <c r="A20" s="18">
        <v>17</v>
      </c>
      <c r="B20" s="202" t="s">
        <v>141</v>
      </c>
      <c r="C20" s="203"/>
      <c r="D20" s="204"/>
      <c r="E20" s="188" t="s">
        <v>164</v>
      </c>
      <c r="F20" s="189"/>
      <c r="G20" s="190"/>
      <c r="H20" s="81" t="s">
        <v>0</v>
      </c>
      <c r="I20" s="81" t="s">
        <v>0</v>
      </c>
      <c r="J20" s="80" t="s">
        <v>344</v>
      </c>
      <c r="K20" s="3" t="s">
        <v>126</v>
      </c>
      <c r="L20" s="3" t="s">
        <v>126</v>
      </c>
      <c r="M20" s="3" t="s">
        <v>126</v>
      </c>
      <c r="N20" s="169" t="s">
        <v>15</v>
      </c>
      <c r="O20" s="170"/>
      <c r="P20" s="171"/>
      <c r="Q20" s="154" t="s">
        <v>260</v>
      </c>
      <c r="R20" s="155"/>
      <c r="S20" s="156"/>
    </row>
    <row r="21" spans="1:19" x14ac:dyDescent="0.2">
      <c r="A21" s="18">
        <v>18</v>
      </c>
      <c r="B21" s="81" t="s">
        <v>0</v>
      </c>
      <c r="C21" s="81" t="s">
        <v>0</v>
      </c>
      <c r="D21" s="81" t="s">
        <v>0</v>
      </c>
      <c r="E21" s="191" t="s">
        <v>165</v>
      </c>
      <c r="F21" s="192"/>
      <c r="G21" s="193"/>
      <c r="H21" s="127" t="s">
        <v>245</v>
      </c>
      <c r="I21" s="127" t="s">
        <v>245</v>
      </c>
      <c r="J21" s="127" t="s">
        <v>245</v>
      </c>
      <c r="K21" s="50" t="s">
        <v>224</v>
      </c>
      <c r="L21" s="50" t="s">
        <v>223</v>
      </c>
      <c r="M21" s="50" t="s">
        <v>146</v>
      </c>
      <c r="N21" s="169" t="s">
        <v>120</v>
      </c>
      <c r="O21" s="170"/>
      <c r="P21" s="171"/>
      <c r="Q21" s="154" t="s">
        <v>260</v>
      </c>
      <c r="R21" s="155"/>
      <c r="S21" s="156"/>
    </row>
    <row r="22" spans="1:19" x14ac:dyDescent="0.2">
      <c r="A22" s="18">
        <v>19</v>
      </c>
      <c r="B22" s="181" t="s">
        <v>142</v>
      </c>
      <c r="C22" s="182"/>
      <c r="D22" s="183"/>
      <c r="E22" s="188" t="s">
        <v>166</v>
      </c>
      <c r="F22" s="189"/>
      <c r="G22" s="190"/>
      <c r="H22" s="80" t="s">
        <v>345</v>
      </c>
      <c r="I22" s="80" t="s">
        <v>345</v>
      </c>
      <c r="J22" s="80" t="s">
        <v>345</v>
      </c>
      <c r="K22" s="3" t="s">
        <v>225</v>
      </c>
      <c r="L22" s="3" t="s">
        <v>221</v>
      </c>
      <c r="M22" s="3" t="s">
        <v>222</v>
      </c>
      <c r="N22" s="169" t="s">
        <v>15</v>
      </c>
      <c r="O22" s="170"/>
      <c r="P22" s="171"/>
      <c r="Q22" s="154" t="s">
        <v>260</v>
      </c>
      <c r="R22" s="155"/>
      <c r="S22" s="156"/>
    </row>
    <row r="23" spans="1:19" x14ac:dyDescent="0.2">
      <c r="A23" s="18">
        <v>20</v>
      </c>
      <c r="B23" s="81" t="s">
        <v>0</v>
      </c>
      <c r="C23" s="81" t="s">
        <v>0</v>
      </c>
      <c r="D23" s="70" t="s">
        <v>143</v>
      </c>
      <c r="E23" s="191" t="s">
        <v>167</v>
      </c>
      <c r="F23" s="192"/>
      <c r="G23" s="193"/>
      <c r="H23" s="80" t="s">
        <v>28</v>
      </c>
      <c r="I23" s="80" t="s">
        <v>28</v>
      </c>
      <c r="J23" s="80" t="s">
        <v>346</v>
      </c>
      <c r="K23" s="50" t="s">
        <v>219</v>
      </c>
      <c r="L23" s="50" t="s">
        <v>220</v>
      </c>
      <c r="M23" s="50" t="s">
        <v>218</v>
      </c>
      <c r="N23" s="169" t="s">
        <v>15</v>
      </c>
      <c r="O23" s="170"/>
      <c r="P23" s="171"/>
      <c r="Q23" s="154" t="s">
        <v>260</v>
      </c>
      <c r="R23" s="155"/>
      <c r="S23" s="156"/>
    </row>
    <row r="24" spans="1:19" x14ac:dyDescent="0.2">
      <c r="A24" s="18">
        <v>21</v>
      </c>
      <c r="B24" s="81" t="s">
        <v>0</v>
      </c>
      <c r="C24" s="83" t="s">
        <v>144</v>
      </c>
      <c r="D24" s="81" t="s">
        <v>0</v>
      </c>
      <c r="E24" s="50" t="s">
        <v>168</v>
      </c>
      <c r="F24" s="50" t="s">
        <v>169</v>
      </c>
      <c r="G24" s="50" t="s">
        <v>170</v>
      </c>
      <c r="H24" s="81" t="s">
        <v>0</v>
      </c>
      <c r="I24" s="81" t="s">
        <v>0</v>
      </c>
      <c r="J24" s="81" t="s">
        <v>0</v>
      </c>
      <c r="K24" s="3" t="s">
        <v>126</v>
      </c>
      <c r="L24" s="3" t="s">
        <v>126</v>
      </c>
      <c r="M24" s="3" t="s">
        <v>126</v>
      </c>
      <c r="N24" s="169" t="s">
        <v>15</v>
      </c>
      <c r="O24" s="170"/>
      <c r="P24" s="171"/>
      <c r="Q24" s="79" t="s">
        <v>260</v>
      </c>
      <c r="R24" s="77" t="s">
        <v>70</v>
      </c>
      <c r="S24" s="79" t="s">
        <v>260</v>
      </c>
    </row>
    <row r="25" spans="1:19" x14ac:dyDescent="0.2">
      <c r="A25" s="18">
        <v>22</v>
      </c>
      <c r="B25" s="202" t="s">
        <v>141</v>
      </c>
      <c r="C25" s="203"/>
      <c r="D25" s="204"/>
      <c r="E25" s="3" t="s">
        <v>179</v>
      </c>
      <c r="F25" s="3" t="s">
        <v>180</v>
      </c>
      <c r="G25" s="3" t="s">
        <v>181</v>
      </c>
      <c r="H25" s="80" t="s">
        <v>345</v>
      </c>
      <c r="I25" s="80" t="s">
        <v>345</v>
      </c>
      <c r="J25" s="80" t="s">
        <v>345</v>
      </c>
      <c r="K25" s="50" t="s">
        <v>233</v>
      </c>
      <c r="L25" s="50" t="s">
        <v>235</v>
      </c>
      <c r="M25" s="50" t="s">
        <v>234</v>
      </c>
      <c r="N25" s="12"/>
      <c r="O25" s="13"/>
      <c r="P25" s="14"/>
      <c r="Q25" s="154" t="s">
        <v>292</v>
      </c>
      <c r="R25" s="155"/>
      <c r="S25" s="156"/>
    </row>
    <row r="26" spans="1:19" x14ac:dyDescent="0.2">
      <c r="A26" s="18">
        <v>23</v>
      </c>
      <c r="B26" s="81" t="s">
        <v>0</v>
      </c>
      <c r="C26" s="81" t="s">
        <v>0</v>
      </c>
      <c r="D26" s="81" t="s">
        <v>0</v>
      </c>
      <c r="E26" s="84" t="s">
        <v>177</v>
      </c>
      <c r="F26" s="83" t="s">
        <v>171</v>
      </c>
      <c r="G26" s="84" t="s">
        <v>178</v>
      </c>
      <c r="H26" s="81" t="s">
        <v>0</v>
      </c>
      <c r="I26" s="80" t="s">
        <v>341</v>
      </c>
      <c r="J26" s="81" t="s">
        <v>0</v>
      </c>
      <c r="K26" s="3" t="s">
        <v>232</v>
      </c>
      <c r="L26" s="3" t="s">
        <v>126</v>
      </c>
      <c r="M26" s="3" t="s">
        <v>126</v>
      </c>
      <c r="N26" s="169" t="s">
        <v>120</v>
      </c>
      <c r="O26" s="170"/>
      <c r="P26" s="171"/>
      <c r="Q26" s="157" t="s">
        <v>273</v>
      </c>
      <c r="R26" s="158"/>
      <c r="S26" s="159"/>
    </row>
    <row r="27" spans="1:19" x14ac:dyDescent="0.2">
      <c r="A27" s="18">
        <v>24</v>
      </c>
      <c r="B27" s="3" t="s">
        <v>126</v>
      </c>
      <c r="C27" s="3" t="s">
        <v>145</v>
      </c>
      <c r="D27" s="3" t="s">
        <v>126</v>
      </c>
      <c r="E27" s="50" t="s">
        <v>168</v>
      </c>
      <c r="F27" s="50" t="s">
        <v>176</v>
      </c>
      <c r="G27" s="50" t="s">
        <v>175</v>
      </c>
      <c r="H27" s="80" t="s">
        <v>345</v>
      </c>
      <c r="I27" s="80" t="s">
        <v>345</v>
      </c>
      <c r="J27" s="80" t="s">
        <v>347</v>
      </c>
      <c r="K27" s="165" t="s">
        <v>228</v>
      </c>
      <c r="L27" s="166"/>
      <c r="M27" s="167"/>
      <c r="N27" s="169" t="s">
        <v>15</v>
      </c>
      <c r="O27" s="170"/>
      <c r="P27" s="171"/>
      <c r="Q27" s="79" t="s">
        <v>293</v>
      </c>
      <c r="R27" s="79" t="s">
        <v>294</v>
      </c>
      <c r="S27" s="79" t="s">
        <v>295</v>
      </c>
    </row>
    <row r="28" spans="1:19" x14ac:dyDescent="0.2">
      <c r="A28" s="18">
        <v>25</v>
      </c>
      <c r="B28" s="81" t="s">
        <v>0</v>
      </c>
      <c r="C28" s="69" t="s">
        <v>391</v>
      </c>
      <c r="D28" s="81" t="s">
        <v>0</v>
      </c>
      <c r="E28" s="208" t="s">
        <v>174</v>
      </c>
      <c r="F28" s="209"/>
      <c r="G28" s="210"/>
      <c r="H28" s="80" t="s">
        <v>28</v>
      </c>
      <c r="I28" s="80" t="s">
        <v>28</v>
      </c>
      <c r="J28" s="80" t="s">
        <v>28</v>
      </c>
      <c r="K28" s="50" t="s">
        <v>231</v>
      </c>
      <c r="L28" s="50" t="s">
        <v>230</v>
      </c>
      <c r="M28" s="50" t="s">
        <v>229</v>
      </c>
      <c r="N28" s="169" t="s">
        <v>15</v>
      </c>
      <c r="O28" s="170"/>
      <c r="P28" s="171"/>
      <c r="Q28" s="154" t="s">
        <v>260</v>
      </c>
      <c r="R28" s="155"/>
      <c r="S28" s="156"/>
    </row>
    <row r="29" spans="1:19" x14ac:dyDescent="0.2">
      <c r="A29" s="20">
        <v>26</v>
      </c>
      <c r="B29" s="81" t="s">
        <v>0</v>
      </c>
      <c r="C29" s="81" t="s">
        <v>0</v>
      </c>
      <c r="D29" s="81" t="s">
        <v>0</v>
      </c>
      <c r="E29" s="84" t="s">
        <v>172</v>
      </c>
      <c r="F29" s="84" t="s">
        <v>171</v>
      </c>
      <c r="G29" s="84" t="s">
        <v>173</v>
      </c>
      <c r="H29" s="80" t="s">
        <v>345</v>
      </c>
      <c r="I29" s="80" t="s">
        <v>345</v>
      </c>
      <c r="J29" s="80" t="s">
        <v>347</v>
      </c>
      <c r="K29" s="165" t="s">
        <v>228</v>
      </c>
      <c r="L29" s="166"/>
      <c r="M29" s="167"/>
      <c r="N29" s="15"/>
      <c r="O29" s="16"/>
      <c r="P29" s="8"/>
      <c r="Q29" s="196" t="s">
        <v>296</v>
      </c>
      <c r="R29" s="197"/>
      <c r="S29" s="198"/>
    </row>
    <row r="30" spans="1:19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spans="1:19" x14ac:dyDescent="0.2">
      <c r="A32" s="194" t="s">
        <v>54</v>
      </c>
      <c r="B32" s="195"/>
      <c r="C32" s="195"/>
      <c r="D32" s="195"/>
      <c r="E32" s="195"/>
      <c r="F32" s="195"/>
      <c r="G32" s="195"/>
      <c r="H32" s="195"/>
      <c r="I32" s="195"/>
      <c r="J32" s="195"/>
      <c r="K32" s="195"/>
      <c r="L32" s="195"/>
      <c r="M32" s="195"/>
      <c r="N32" s="195"/>
      <c r="O32" s="195"/>
      <c r="P32" s="195"/>
      <c r="Q32" s="195"/>
      <c r="R32" s="195"/>
      <c r="S32" s="195"/>
    </row>
    <row r="33" spans="1:19" s="56" customFormat="1" x14ac:dyDescent="0.2">
      <c r="A33" s="55"/>
      <c r="B33" s="149" t="s">
        <v>66</v>
      </c>
      <c r="C33" s="150"/>
      <c r="D33" s="151"/>
      <c r="E33" s="149" t="s">
        <v>67</v>
      </c>
      <c r="F33" s="150"/>
      <c r="G33" s="151"/>
      <c r="H33" s="149" t="s">
        <v>321</v>
      </c>
      <c r="I33" s="150"/>
      <c r="J33" s="151"/>
      <c r="K33" s="149" t="s">
        <v>3</v>
      </c>
      <c r="L33" s="150"/>
      <c r="M33" s="151"/>
      <c r="N33" s="149" t="s">
        <v>2</v>
      </c>
      <c r="O33" s="150"/>
      <c r="P33" s="151"/>
      <c r="Q33" s="149" t="s">
        <v>1</v>
      </c>
      <c r="R33" s="150"/>
      <c r="S33" s="151"/>
    </row>
    <row r="34" spans="1:19" x14ac:dyDescent="0.2">
      <c r="A34" s="21" t="s">
        <v>55</v>
      </c>
      <c r="B34" s="21">
        <v>17</v>
      </c>
      <c r="C34" s="21">
        <v>15</v>
      </c>
      <c r="D34" s="21">
        <v>15</v>
      </c>
      <c r="E34" s="21">
        <v>0</v>
      </c>
      <c r="F34" s="21">
        <v>0</v>
      </c>
      <c r="G34" s="21">
        <v>0</v>
      </c>
      <c r="H34" s="21">
        <v>7</v>
      </c>
      <c r="I34" s="21">
        <v>4</v>
      </c>
      <c r="J34" s="21">
        <v>3</v>
      </c>
      <c r="K34" s="21">
        <v>2</v>
      </c>
      <c r="L34" s="21">
        <v>1</v>
      </c>
      <c r="M34" s="21">
        <v>2</v>
      </c>
      <c r="N34" s="21">
        <v>0</v>
      </c>
      <c r="O34" s="21">
        <v>0</v>
      </c>
      <c r="P34" s="21">
        <v>0</v>
      </c>
      <c r="Q34" s="21">
        <v>0</v>
      </c>
      <c r="R34" s="21">
        <v>0</v>
      </c>
      <c r="S34" s="21">
        <v>0</v>
      </c>
    </row>
    <row r="35" spans="1:19" x14ac:dyDescent="0.2">
      <c r="A35" s="22" t="s">
        <v>317</v>
      </c>
      <c r="B35" s="22">
        <v>6</v>
      </c>
      <c r="C35" s="22">
        <v>7</v>
      </c>
      <c r="D35" s="22">
        <v>8</v>
      </c>
      <c r="E35" s="22">
        <v>9</v>
      </c>
      <c r="F35" s="22">
        <v>8</v>
      </c>
      <c r="G35" s="22">
        <v>8</v>
      </c>
      <c r="H35" s="22">
        <v>14</v>
      </c>
      <c r="I35" s="22">
        <v>16</v>
      </c>
      <c r="J35" s="22">
        <v>17</v>
      </c>
      <c r="K35" s="22">
        <v>9</v>
      </c>
      <c r="L35" s="22">
        <v>10</v>
      </c>
      <c r="M35" s="22">
        <v>8</v>
      </c>
      <c r="N35" s="22">
        <v>0</v>
      </c>
      <c r="O35" s="22">
        <v>0</v>
      </c>
      <c r="P35" s="22">
        <v>0</v>
      </c>
      <c r="Q35" s="22">
        <v>3</v>
      </c>
      <c r="R35" s="22">
        <v>3</v>
      </c>
      <c r="S35" s="22">
        <v>3</v>
      </c>
    </row>
    <row r="36" spans="1:19" x14ac:dyDescent="0.2">
      <c r="A36" s="23" t="s">
        <v>56</v>
      </c>
      <c r="B36" s="23">
        <v>3</v>
      </c>
      <c r="C36" s="23">
        <v>4</v>
      </c>
      <c r="D36" s="23">
        <v>3</v>
      </c>
      <c r="E36" s="23">
        <v>17</v>
      </c>
      <c r="F36" s="23">
        <v>18</v>
      </c>
      <c r="G36" s="23">
        <v>18</v>
      </c>
      <c r="H36" s="23">
        <v>5</v>
      </c>
      <c r="I36" s="23">
        <v>6</v>
      </c>
      <c r="J36" s="23">
        <v>6</v>
      </c>
      <c r="K36" s="23">
        <v>15</v>
      </c>
      <c r="L36" s="23">
        <v>15</v>
      </c>
      <c r="M36" s="23">
        <v>16</v>
      </c>
      <c r="N36" s="23">
        <v>26</v>
      </c>
      <c r="O36" s="23">
        <v>26</v>
      </c>
      <c r="P36" s="23">
        <v>26</v>
      </c>
      <c r="Q36" s="23">
        <v>23</v>
      </c>
      <c r="R36" s="23">
        <v>23</v>
      </c>
      <c r="S36" s="23">
        <v>23</v>
      </c>
    </row>
    <row r="37" spans="1:19" x14ac:dyDescent="0.2">
      <c r="A37" s="43" t="s">
        <v>57</v>
      </c>
      <c r="B37" s="53">
        <v>0</v>
      </c>
      <c r="C37" s="62">
        <v>0</v>
      </c>
      <c r="D37" s="62">
        <v>0</v>
      </c>
      <c r="E37" s="62">
        <v>0</v>
      </c>
      <c r="F37" s="62">
        <v>0</v>
      </c>
      <c r="G37" s="62">
        <v>0</v>
      </c>
      <c r="H37" s="53">
        <v>0</v>
      </c>
      <c r="I37" s="62">
        <v>0</v>
      </c>
      <c r="J37" s="62">
        <v>0</v>
      </c>
      <c r="K37" s="62">
        <v>0</v>
      </c>
      <c r="L37" s="62">
        <v>0</v>
      </c>
      <c r="M37" s="62">
        <v>0</v>
      </c>
      <c r="N37" s="62">
        <v>0</v>
      </c>
      <c r="O37" s="62">
        <v>0</v>
      </c>
      <c r="P37" s="62">
        <v>0</v>
      </c>
      <c r="Q37" s="62">
        <v>0</v>
      </c>
      <c r="R37" s="62">
        <v>0</v>
      </c>
      <c r="S37" s="62">
        <v>0</v>
      </c>
    </row>
    <row r="38" spans="1:19" x14ac:dyDescent="0.2">
      <c r="A38" s="44" t="s">
        <v>68</v>
      </c>
      <c r="B38" s="54">
        <f t="shared" ref="B38:P38" si="0">SUM(B34:B37)</f>
        <v>26</v>
      </c>
      <c r="C38" s="54">
        <f t="shared" si="0"/>
        <v>26</v>
      </c>
      <c r="D38" s="54">
        <f t="shared" si="0"/>
        <v>26</v>
      </c>
      <c r="E38" s="54">
        <f t="shared" si="0"/>
        <v>26</v>
      </c>
      <c r="F38" s="54">
        <f t="shared" si="0"/>
        <v>26</v>
      </c>
      <c r="G38" s="54">
        <f t="shared" si="0"/>
        <v>26</v>
      </c>
      <c r="H38" s="54">
        <f t="shared" si="0"/>
        <v>26</v>
      </c>
      <c r="I38" s="54">
        <f t="shared" si="0"/>
        <v>26</v>
      </c>
      <c r="J38" s="54">
        <f t="shared" si="0"/>
        <v>26</v>
      </c>
      <c r="K38" s="54">
        <f t="shared" si="0"/>
        <v>26</v>
      </c>
      <c r="L38" s="54">
        <f t="shared" si="0"/>
        <v>26</v>
      </c>
      <c r="M38" s="54">
        <f t="shared" si="0"/>
        <v>26</v>
      </c>
      <c r="N38" s="54">
        <f t="shared" si="0"/>
        <v>26</v>
      </c>
      <c r="O38" s="54">
        <f t="shared" si="0"/>
        <v>26</v>
      </c>
      <c r="P38" s="54">
        <f t="shared" si="0"/>
        <v>26</v>
      </c>
      <c r="Q38" s="54">
        <f t="shared" ref="Q38" si="1">SUM(Q34:Q37)</f>
        <v>26</v>
      </c>
      <c r="R38" s="54">
        <f t="shared" ref="R38" si="2">SUM(R34:R37)</f>
        <v>26</v>
      </c>
      <c r="S38" s="54">
        <f t="shared" ref="S38" si="3">SUM(S34:S37)</f>
        <v>26</v>
      </c>
    </row>
    <row r="41" spans="1:19" s="88" customFormat="1" x14ac:dyDescent="0.2">
      <c r="A41" s="121" t="s">
        <v>319</v>
      </c>
      <c r="B41" s="152">
        <f>SUM(B34,C34,D34)/SUM(B38:D38)</f>
        <v>0.60256410256410253</v>
      </c>
      <c r="C41" s="152"/>
      <c r="D41" s="152"/>
      <c r="E41" s="152">
        <f>SUM(E34,F34,G34)/SUM(E38:G38)</f>
        <v>0</v>
      </c>
      <c r="F41" s="152"/>
      <c r="G41" s="152"/>
      <c r="H41" s="152">
        <f>SUM(H34,I34,J34)/SUM(H38:J38)</f>
        <v>0.17948717948717949</v>
      </c>
      <c r="I41" s="152"/>
      <c r="J41" s="152"/>
      <c r="K41" s="152">
        <f>SUM(K34,L34,M34)/SUM(K38:M38)</f>
        <v>6.4102564102564097E-2</v>
      </c>
      <c r="L41" s="152"/>
      <c r="M41" s="152"/>
      <c r="N41" s="152">
        <f>SUM(N34,O34,P34)/SUM(N38:P38)</f>
        <v>0</v>
      </c>
      <c r="O41" s="152"/>
      <c r="P41" s="152"/>
      <c r="Q41" s="152">
        <f>SUM(Q34,R34,S34)/SUM(Q38:S38)</f>
        <v>0</v>
      </c>
      <c r="R41" s="152"/>
      <c r="S41" s="168"/>
    </row>
    <row r="42" spans="1:19" s="89" customFormat="1" x14ac:dyDescent="0.2">
      <c r="A42" s="123" t="s">
        <v>320</v>
      </c>
      <c r="B42" s="153">
        <f>SUM(B34:D35)/SUM(B38:D38)</f>
        <v>0.87179487179487181</v>
      </c>
      <c r="C42" s="153"/>
      <c r="D42" s="153"/>
      <c r="E42" s="153">
        <f>SUM(E34:G35)/SUM(E38:G38)</f>
        <v>0.32051282051282054</v>
      </c>
      <c r="F42" s="153"/>
      <c r="G42" s="153"/>
      <c r="H42" s="153">
        <f>SUM(H34:J35)/SUM(H38:J38)</f>
        <v>0.78205128205128205</v>
      </c>
      <c r="I42" s="153"/>
      <c r="J42" s="153"/>
      <c r="K42" s="153">
        <f>SUM(K34:M35)/SUM(K38:M38)</f>
        <v>0.41025641025641024</v>
      </c>
      <c r="L42" s="153"/>
      <c r="M42" s="153"/>
      <c r="N42" s="153">
        <f>SUM(N34:P35)/SUM(N38:P38)</f>
        <v>0</v>
      </c>
      <c r="O42" s="153"/>
      <c r="P42" s="153"/>
      <c r="Q42" s="153">
        <f>SUM(Q34:S35)/SUM(Q38:S38)</f>
        <v>0.11538461538461539</v>
      </c>
      <c r="R42" s="153"/>
      <c r="S42" s="164"/>
    </row>
  </sheetData>
  <mergeCells count="100">
    <mergeCell ref="E7:G7"/>
    <mergeCell ref="E6:G6"/>
    <mergeCell ref="E12:G12"/>
    <mergeCell ref="E14:G14"/>
    <mergeCell ref="F15:G15"/>
    <mergeCell ref="E42:G42"/>
    <mergeCell ref="K42:M42"/>
    <mergeCell ref="N42:P42"/>
    <mergeCell ref="E10:G10"/>
    <mergeCell ref="E16:G16"/>
    <mergeCell ref="E18:G18"/>
    <mergeCell ref="E19:G19"/>
    <mergeCell ref="E20:G20"/>
    <mergeCell ref="E21:G21"/>
    <mergeCell ref="E22:G22"/>
    <mergeCell ref="E23:G23"/>
    <mergeCell ref="E41:G41"/>
    <mergeCell ref="K41:M41"/>
    <mergeCell ref="E28:G28"/>
    <mergeCell ref="N22:P22"/>
    <mergeCell ref="N23:P23"/>
    <mergeCell ref="B15:D15"/>
    <mergeCell ref="B17:D17"/>
    <mergeCell ref="B20:D20"/>
    <mergeCell ref="B25:D25"/>
    <mergeCell ref="B42:D42"/>
    <mergeCell ref="B33:D33"/>
    <mergeCell ref="B41:D41"/>
    <mergeCell ref="B22:D22"/>
    <mergeCell ref="N26:P26"/>
    <mergeCell ref="N27:P27"/>
    <mergeCell ref="N24:P24"/>
    <mergeCell ref="E33:G33"/>
    <mergeCell ref="K33:M33"/>
    <mergeCell ref="A32:S32"/>
    <mergeCell ref="Q26:S26"/>
    <mergeCell ref="Q28:S28"/>
    <mergeCell ref="Q29:S29"/>
    <mergeCell ref="E4:G4"/>
    <mergeCell ref="K8:M8"/>
    <mergeCell ref="K10:M10"/>
    <mergeCell ref="K11:M11"/>
    <mergeCell ref="A1:A3"/>
    <mergeCell ref="B1:S1"/>
    <mergeCell ref="B2:D2"/>
    <mergeCell ref="E2:G2"/>
    <mergeCell ref="K2:M2"/>
    <mergeCell ref="N2:P2"/>
    <mergeCell ref="Q2:S2"/>
    <mergeCell ref="B5:D5"/>
    <mergeCell ref="B6:D6"/>
    <mergeCell ref="B7:D7"/>
    <mergeCell ref="E9:G9"/>
    <mergeCell ref="E8:G8"/>
    <mergeCell ref="N21:P21"/>
    <mergeCell ref="N4:P4"/>
    <mergeCell ref="N5:P5"/>
    <mergeCell ref="N6:P6"/>
    <mergeCell ref="N7:P7"/>
    <mergeCell ref="N8:P8"/>
    <mergeCell ref="N9:P9"/>
    <mergeCell ref="N10:P10"/>
    <mergeCell ref="N12:P12"/>
    <mergeCell ref="N16:P16"/>
    <mergeCell ref="N17:P17"/>
    <mergeCell ref="N20:P20"/>
    <mergeCell ref="N11:P11"/>
    <mergeCell ref="N13:P13"/>
    <mergeCell ref="N14:P14"/>
    <mergeCell ref="N18:P18"/>
    <mergeCell ref="Q42:S42"/>
    <mergeCell ref="K29:M29"/>
    <mergeCell ref="K27:M27"/>
    <mergeCell ref="Q33:S33"/>
    <mergeCell ref="Q41:S41"/>
    <mergeCell ref="N33:P33"/>
    <mergeCell ref="N28:P28"/>
    <mergeCell ref="N41:P41"/>
    <mergeCell ref="Q9:S9"/>
    <mergeCell ref="Q10:S10"/>
    <mergeCell ref="Q12:S12"/>
    <mergeCell ref="Q4:S4"/>
    <mergeCell ref="Q5:S5"/>
    <mergeCell ref="Q6:S6"/>
    <mergeCell ref="H2:J2"/>
    <mergeCell ref="H33:J33"/>
    <mergeCell ref="H41:J41"/>
    <mergeCell ref="H42:J42"/>
    <mergeCell ref="Q20:S20"/>
    <mergeCell ref="Q21:S21"/>
    <mergeCell ref="Q22:S22"/>
    <mergeCell ref="Q23:S23"/>
    <mergeCell ref="Q25:S25"/>
    <mergeCell ref="Q13:S13"/>
    <mergeCell ref="Q14:S14"/>
    <mergeCell ref="R15:S15"/>
    <mergeCell ref="Q16:S16"/>
    <mergeCell ref="Q17:S17"/>
    <mergeCell ref="Q7:S7"/>
    <mergeCell ref="Q8:S8"/>
  </mergeCells>
  <pageMargins left="0.25" right="0.25" top="0.75" bottom="0.75" header="0.3" footer="0.3"/>
  <pageSetup paperSize="9" scale="35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BA8A-1596-574F-BB58-7598A3EECCCA}">
  <dimension ref="A1:G39"/>
  <sheetViews>
    <sheetView zoomScale="150" zoomScaleNormal="160" workbookViewId="0">
      <selection activeCell="B28" sqref="B28"/>
    </sheetView>
  </sheetViews>
  <sheetFormatPr baseColWidth="10" defaultRowHeight="16" x14ac:dyDescent="0.2"/>
  <cols>
    <col min="1" max="1" width="12.33203125" style="2" customWidth="1"/>
    <col min="2" max="2" width="15.83203125" style="1" customWidth="1"/>
    <col min="3" max="3" width="15.6640625" style="1" customWidth="1"/>
    <col min="4" max="6" width="15.83203125" style="1" customWidth="1"/>
    <col min="7" max="7" width="15.83203125" style="4" customWidth="1"/>
  </cols>
  <sheetData>
    <row r="1" spans="1:7" x14ac:dyDescent="0.2">
      <c r="A1" s="215" t="s">
        <v>6</v>
      </c>
      <c r="B1" s="216" t="s">
        <v>21</v>
      </c>
      <c r="C1" s="217"/>
      <c r="D1" s="217"/>
      <c r="E1" s="217"/>
      <c r="F1" s="217"/>
      <c r="G1" s="217"/>
    </row>
    <row r="2" spans="1:7" x14ac:dyDescent="0.2">
      <c r="A2" s="215"/>
      <c r="B2" s="82" t="s">
        <v>5</v>
      </c>
      <c r="C2" s="82" t="s">
        <v>4</v>
      </c>
      <c r="D2" s="82" t="s">
        <v>321</v>
      </c>
      <c r="E2" s="82" t="s">
        <v>3</v>
      </c>
      <c r="F2" s="82" t="s">
        <v>2</v>
      </c>
      <c r="G2" s="82" t="s">
        <v>1</v>
      </c>
    </row>
    <row r="3" spans="1:7" x14ac:dyDescent="0.2">
      <c r="A3" s="9">
        <v>1</v>
      </c>
      <c r="B3" s="81" t="s">
        <v>129</v>
      </c>
      <c r="C3" s="74" t="s">
        <v>105</v>
      </c>
      <c r="D3" s="38" t="s">
        <v>0</v>
      </c>
      <c r="E3" s="74" t="s">
        <v>132</v>
      </c>
      <c r="F3" s="45" t="s">
        <v>15</v>
      </c>
      <c r="G3" s="99" t="s">
        <v>251</v>
      </c>
    </row>
    <row r="4" spans="1:7" x14ac:dyDescent="0.2">
      <c r="A4" s="9">
        <v>2</v>
      </c>
      <c r="B4" s="79" t="s">
        <v>383</v>
      </c>
      <c r="C4" s="71" t="s">
        <v>95</v>
      </c>
      <c r="D4" s="128" t="s">
        <v>348</v>
      </c>
      <c r="E4" s="74" t="s">
        <v>45</v>
      </c>
      <c r="F4" s="45" t="s">
        <v>15</v>
      </c>
      <c r="G4" s="50" t="s">
        <v>252</v>
      </c>
    </row>
    <row r="5" spans="1:7" x14ac:dyDescent="0.2">
      <c r="A5" s="9">
        <v>3</v>
      </c>
      <c r="B5" s="38" t="s">
        <v>0</v>
      </c>
      <c r="C5" s="77" t="s">
        <v>106</v>
      </c>
      <c r="D5" s="128" t="s">
        <v>349</v>
      </c>
      <c r="E5" s="75" t="s">
        <v>136</v>
      </c>
      <c r="F5" s="46" t="s">
        <v>15</v>
      </c>
      <c r="G5" s="107" t="s">
        <v>253</v>
      </c>
    </row>
    <row r="6" spans="1:7" x14ac:dyDescent="0.2">
      <c r="A6" s="9">
        <v>4</v>
      </c>
      <c r="B6" s="79" t="s">
        <v>124</v>
      </c>
      <c r="C6" s="75" t="s">
        <v>107</v>
      </c>
      <c r="D6" s="128" t="s">
        <v>384</v>
      </c>
      <c r="E6" s="74" t="s">
        <v>45</v>
      </c>
      <c r="F6" s="46" t="s">
        <v>120</v>
      </c>
      <c r="G6" s="101" t="s">
        <v>254</v>
      </c>
    </row>
    <row r="7" spans="1:7" x14ac:dyDescent="0.2">
      <c r="A7" s="9">
        <v>5</v>
      </c>
      <c r="B7" s="76" t="s">
        <v>0</v>
      </c>
      <c r="C7" s="76"/>
      <c r="D7" s="132" t="s">
        <v>0</v>
      </c>
      <c r="E7" s="76" t="s">
        <v>30</v>
      </c>
      <c r="F7" s="76" t="s">
        <v>119</v>
      </c>
      <c r="G7" s="108"/>
    </row>
    <row r="8" spans="1:7" x14ac:dyDescent="0.2">
      <c r="A8" s="9">
        <v>6</v>
      </c>
      <c r="B8" s="38" t="s">
        <v>0</v>
      </c>
      <c r="C8" s="75" t="s">
        <v>109</v>
      </c>
      <c r="D8" s="38" t="s">
        <v>0</v>
      </c>
      <c r="E8" s="77" t="s">
        <v>133</v>
      </c>
      <c r="F8" s="46" t="s">
        <v>15</v>
      </c>
      <c r="G8" s="100" t="s">
        <v>255</v>
      </c>
    </row>
    <row r="9" spans="1:7" x14ac:dyDescent="0.2">
      <c r="A9" s="9">
        <v>7</v>
      </c>
      <c r="B9" s="38" t="s">
        <v>0</v>
      </c>
      <c r="C9" s="75" t="s">
        <v>110</v>
      </c>
      <c r="D9" s="128" t="s">
        <v>350</v>
      </c>
      <c r="E9" s="38" t="s">
        <v>0</v>
      </c>
      <c r="F9" s="46" t="s">
        <v>15</v>
      </c>
      <c r="G9" s="101" t="s">
        <v>256</v>
      </c>
    </row>
    <row r="10" spans="1:7" x14ac:dyDescent="0.2">
      <c r="A10" s="9">
        <v>8</v>
      </c>
      <c r="B10" s="79" t="s">
        <v>125</v>
      </c>
      <c r="C10" s="75" t="s">
        <v>111</v>
      </c>
      <c r="D10" s="128" t="s">
        <v>351</v>
      </c>
      <c r="E10" s="77" t="s">
        <v>134</v>
      </c>
      <c r="F10" s="46" t="s">
        <v>120</v>
      </c>
      <c r="G10" s="101" t="s">
        <v>237</v>
      </c>
    </row>
    <row r="11" spans="1:7" x14ac:dyDescent="0.2">
      <c r="A11" s="9">
        <v>9</v>
      </c>
      <c r="B11" s="38" t="s">
        <v>0</v>
      </c>
      <c r="C11" s="77" t="s">
        <v>272</v>
      </c>
      <c r="D11" s="129" t="s">
        <v>237</v>
      </c>
      <c r="E11" s="38" t="s">
        <v>0</v>
      </c>
      <c r="F11" s="46" t="s">
        <v>120</v>
      </c>
      <c r="G11" s="99" t="s">
        <v>257</v>
      </c>
    </row>
    <row r="12" spans="1:7" x14ac:dyDescent="0.2">
      <c r="A12" s="9">
        <v>10</v>
      </c>
      <c r="B12" s="38" t="s">
        <v>0</v>
      </c>
      <c r="C12" s="75" t="s">
        <v>28</v>
      </c>
      <c r="D12" s="38" t="s">
        <v>0</v>
      </c>
      <c r="E12" s="77" t="s">
        <v>132</v>
      </c>
      <c r="F12" s="46" t="s">
        <v>120</v>
      </c>
      <c r="G12" s="104" t="s">
        <v>238</v>
      </c>
    </row>
    <row r="13" spans="1:7" x14ac:dyDescent="0.2">
      <c r="A13" s="9">
        <v>11</v>
      </c>
      <c r="B13" s="38" t="s">
        <v>0</v>
      </c>
      <c r="C13" s="77" t="s">
        <v>108</v>
      </c>
      <c r="D13" s="128" t="s">
        <v>352</v>
      </c>
      <c r="E13" s="75" t="s">
        <v>28</v>
      </c>
      <c r="F13" s="46" t="s">
        <v>120</v>
      </c>
      <c r="G13" s="102" t="s">
        <v>258</v>
      </c>
    </row>
    <row r="14" spans="1:7" x14ac:dyDescent="0.2">
      <c r="A14" s="9">
        <v>12</v>
      </c>
      <c r="B14" s="38" t="s">
        <v>0</v>
      </c>
      <c r="C14" s="75" t="s">
        <v>28</v>
      </c>
      <c r="D14" s="128" t="s">
        <v>385</v>
      </c>
      <c r="E14" s="77" t="s">
        <v>45</v>
      </c>
      <c r="F14" s="46" t="s">
        <v>15</v>
      </c>
      <c r="G14" s="50" t="s">
        <v>259</v>
      </c>
    </row>
    <row r="15" spans="1:7" x14ac:dyDescent="0.2">
      <c r="A15" s="9">
        <v>13</v>
      </c>
      <c r="B15" s="80" t="s">
        <v>126</v>
      </c>
      <c r="C15" s="75" t="s">
        <v>273</v>
      </c>
      <c r="D15" s="128" t="s">
        <v>28</v>
      </c>
      <c r="E15" s="77" t="s">
        <v>45</v>
      </c>
      <c r="F15" s="46" t="s">
        <v>15</v>
      </c>
      <c r="G15" s="50" t="s">
        <v>260</v>
      </c>
    </row>
    <row r="16" spans="1:7" x14ac:dyDescent="0.2">
      <c r="A16" s="9">
        <v>14</v>
      </c>
      <c r="B16" s="76"/>
      <c r="C16" s="76"/>
      <c r="D16" s="133" t="s">
        <v>322</v>
      </c>
      <c r="E16" s="76" t="s">
        <v>28</v>
      </c>
      <c r="F16" s="78" t="s">
        <v>15</v>
      </c>
      <c r="G16" s="108"/>
    </row>
    <row r="17" spans="1:7" x14ac:dyDescent="0.2">
      <c r="A17" s="9">
        <v>15</v>
      </c>
      <c r="B17" s="76"/>
      <c r="C17" s="76"/>
      <c r="D17" s="133" t="s">
        <v>322</v>
      </c>
      <c r="E17" s="76" t="s">
        <v>113</v>
      </c>
      <c r="F17" s="78" t="s">
        <v>15</v>
      </c>
      <c r="G17" s="108"/>
    </row>
    <row r="18" spans="1:7" x14ac:dyDescent="0.2">
      <c r="A18" s="9">
        <v>16</v>
      </c>
      <c r="B18" s="109" t="s">
        <v>0</v>
      </c>
      <c r="C18" s="76" t="s">
        <v>112</v>
      </c>
      <c r="D18" s="133" t="s">
        <v>322</v>
      </c>
      <c r="E18" s="76" t="s">
        <v>28</v>
      </c>
      <c r="F18" s="78" t="s">
        <v>15</v>
      </c>
      <c r="G18" s="108" t="s">
        <v>261</v>
      </c>
    </row>
    <row r="19" spans="1:7" x14ac:dyDescent="0.2">
      <c r="A19" s="9">
        <v>17</v>
      </c>
      <c r="B19" s="80" t="s">
        <v>127</v>
      </c>
      <c r="C19" s="77" t="s">
        <v>113</v>
      </c>
      <c r="D19" s="128" t="s">
        <v>353</v>
      </c>
      <c r="E19" s="77" t="s">
        <v>135</v>
      </c>
      <c r="F19" s="46" t="s">
        <v>15</v>
      </c>
      <c r="G19" s="101" t="s">
        <v>262</v>
      </c>
    </row>
    <row r="20" spans="1:7" x14ac:dyDescent="0.2">
      <c r="A20" s="9">
        <v>18</v>
      </c>
      <c r="B20" s="38" t="s">
        <v>0</v>
      </c>
      <c r="C20" s="75" t="s">
        <v>110</v>
      </c>
      <c r="D20" s="38" t="s">
        <v>0</v>
      </c>
      <c r="E20" s="38" t="s">
        <v>0</v>
      </c>
      <c r="F20" s="46" t="s">
        <v>120</v>
      </c>
      <c r="G20" s="99" t="s">
        <v>257</v>
      </c>
    </row>
    <row r="21" spans="1:7" x14ac:dyDescent="0.2">
      <c r="A21" s="9">
        <v>19</v>
      </c>
      <c r="B21" s="76"/>
      <c r="C21" s="76"/>
      <c r="D21" s="132"/>
      <c r="E21" s="76" t="s">
        <v>45</v>
      </c>
      <c r="F21" s="78" t="s">
        <v>120</v>
      </c>
      <c r="G21" s="108" t="s">
        <v>28</v>
      </c>
    </row>
    <row r="22" spans="1:7" x14ac:dyDescent="0.2">
      <c r="A22" s="9">
        <v>20</v>
      </c>
      <c r="B22" s="38" t="s">
        <v>0</v>
      </c>
      <c r="C22" s="75" t="s">
        <v>28</v>
      </c>
      <c r="D22" s="129" t="s">
        <v>194</v>
      </c>
      <c r="E22" s="77" t="s">
        <v>45</v>
      </c>
      <c r="F22" s="46" t="s">
        <v>15</v>
      </c>
      <c r="G22" s="50" t="s">
        <v>263</v>
      </c>
    </row>
    <row r="23" spans="1:7" x14ac:dyDescent="0.2">
      <c r="A23" s="9">
        <v>21</v>
      </c>
      <c r="B23" s="38" t="s">
        <v>0</v>
      </c>
      <c r="C23" s="77" t="s">
        <v>114</v>
      </c>
      <c r="D23" s="38" t="s">
        <v>0</v>
      </c>
      <c r="E23" s="77" t="s">
        <v>134</v>
      </c>
      <c r="F23" s="46" t="s">
        <v>15</v>
      </c>
      <c r="G23" s="100" t="s">
        <v>264</v>
      </c>
    </row>
    <row r="24" spans="1:7" x14ac:dyDescent="0.2">
      <c r="A24" s="9">
        <v>22</v>
      </c>
      <c r="B24" s="38" t="s">
        <v>0</v>
      </c>
      <c r="C24" s="75" t="s">
        <v>115</v>
      </c>
      <c r="D24" s="38" t="s">
        <v>355</v>
      </c>
      <c r="E24" s="75" t="s">
        <v>28</v>
      </c>
      <c r="F24" s="46" t="s">
        <v>120</v>
      </c>
      <c r="G24" s="101" t="s">
        <v>265</v>
      </c>
    </row>
    <row r="25" spans="1:7" x14ac:dyDescent="0.2">
      <c r="A25" s="9">
        <v>23</v>
      </c>
      <c r="B25" s="138" t="s">
        <v>382</v>
      </c>
      <c r="C25" s="75" t="s">
        <v>116</v>
      </c>
      <c r="D25" s="129" t="s">
        <v>194</v>
      </c>
      <c r="E25" s="75" t="s">
        <v>28</v>
      </c>
      <c r="F25" s="46" t="s">
        <v>121</v>
      </c>
      <c r="G25" s="50" t="s">
        <v>266</v>
      </c>
    </row>
    <row r="26" spans="1:7" x14ac:dyDescent="0.2">
      <c r="A26" s="9">
        <v>24</v>
      </c>
      <c r="B26" s="128" t="s">
        <v>354</v>
      </c>
      <c r="C26" s="77" t="s">
        <v>117</v>
      </c>
      <c r="D26" s="128" t="s">
        <v>348</v>
      </c>
      <c r="E26" s="75" t="s">
        <v>28</v>
      </c>
      <c r="F26" s="46" t="s">
        <v>15</v>
      </c>
      <c r="G26" s="110" t="s">
        <v>269</v>
      </c>
    </row>
    <row r="27" spans="1:7" x14ac:dyDescent="0.2">
      <c r="A27" s="9">
        <v>25</v>
      </c>
      <c r="B27" s="80" t="s">
        <v>128</v>
      </c>
      <c r="C27" s="77" t="s">
        <v>114</v>
      </c>
      <c r="D27" s="128" t="s">
        <v>325</v>
      </c>
      <c r="E27" s="77" t="s">
        <v>134</v>
      </c>
      <c r="F27" s="46" t="s">
        <v>120</v>
      </c>
      <c r="G27" s="50" t="s">
        <v>267</v>
      </c>
    </row>
    <row r="28" spans="1:7" x14ac:dyDescent="0.2">
      <c r="A28" s="9">
        <v>26</v>
      </c>
      <c r="B28" s="79" t="s">
        <v>383</v>
      </c>
      <c r="C28" s="112" t="s">
        <v>118</v>
      </c>
      <c r="D28" s="128" t="s">
        <v>126</v>
      </c>
      <c r="E28" s="75" t="s">
        <v>28</v>
      </c>
      <c r="F28" s="46" t="s">
        <v>15</v>
      </c>
      <c r="G28" s="110" t="s">
        <v>268</v>
      </c>
    </row>
    <row r="29" spans="1:7" x14ac:dyDescent="0.2">
      <c r="A29"/>
      <c r="B29"/>
      <c r="C29"/>
      <c r="D29"/>
      <c r="E29"/>
      <c r="F29"/>
      <c r="G29"/>
    </row>
    <row r="30" spans="1:7" x14ac:dyDescent="0.2">
      <c r="A30" s="194" t="s">
        <v>54</v>
      </c>
      <c r="B30" s="195"/>
      <c r="C30" s="195"/>
      <c r="D30" s="195"/>
      <c r="E30" s="195"/>
      <c r="F30" s="195"/>
      <c r="G30" s="195"/>
    </row>
    <row r="31" spans="1:7" x14ac:dyDescent="0.2">
      <c r="A31" s="21" t="s">
        <v>55</v>
      </c>
      <c r="B31" s="21">
        <v>12</v>
      </c>
      <c r="C31" s="21">
        <v>0</v>
      </c>
      <c r="D31" s="21">
        <v>6</v>
      </c>
      <c r="E31" s="21">
        <v>3</v>
      </c>
      <c r="F31" s="21">
        <v>0</v>
      </c>
      <c r="G31" s="21">
        <v>2</v>
      </c>
    </row>
    <row r="32" spans="1:7" x14ac:dyDescent="0.2">
      <c r="A32" s="22" t="s">
        <v>317</v>
      </c>
      <c r="B32" s="22">
        <v>5</v>
      </c>
      <c r="C32" s="22">
        <v>11</v>
      </c>
      <c r="D32" s="22">
        <v>12</v>
      </c>
      <c r="E32" s="22">
        <v>6</v>
      </c>
      <c r="F32" s="22">
        <v>0</v>
      </c>
      <c r="G32" s="22">
        <v>3</v>
      </c>
    </row>
    <row r="33" spans="1:7" x14ac:dyDescent="0.2">
      <c r="A33" s="23" t="s">
        <v>56</v>
      </c>
      <c r="B33" s="23">
        <v>4</v>
      </c>
      <c r="C33" s="23">
        <v>10</v>
      </c>
      <c r="D33" s="23">
        <v>3</v>
      </c>
      <c r="E33" s="23">
        <v>12</v>
      </c>
      <c r="F33" s="23">
        <v>21</v>
      </c>
      <c r="G33" s="23">
        <v>16</v>
      </c>
    </row>
    <row r="34" spans="1:7" x14ac:dyDescent="0.2">
      <c r="A34" s="43" t="s">
        <v>57</v>
      </c>
      <c r="B34" s="53">
        <v>5</v>
      </c>
      <c r="C34" s="62">
        <v>5</v>
      </c>
      <c r="D34" s="53">
        <v>5</v>
      </c>
      <c r="E34" s="62">
        <v>5</v>
      </c>
      <c r="F34" s="62">
        <v>5</v>
      </c>
      <c r="G34" s="111">
        <v>5</v>
      </c>
    </row>
    <row r="35" spans="1:7" x14ac:dyDescent="0.2">
      <c r="A35" s="44" t="s">
        <v>68</v>
      </c>
      <c r="B35" s="54">
        <f t="shared" ref="B35:G35" si="0">SUM(B31:B33)</f>
        <v>21</v>
      </c>
      <c r="C35" s="54">
        <f t="shared" si="0"/>
        <v>21</v>
      </c>
      <c r="D35" s="54">
        <f t="shared" si="0"/>
        <v>21</v>
      </c>
      <c r="E35" s="54">
        <f t="shared" si="0"/>
        <v>21</v>
      </c>
      <c r="F35" s="54">
        <f t="shared" si="0"/>
        <v>21</v>
      </c>
      <c r="G35" s="54">
        <f t="shared" si="0"/>
        <v>21</v>
      </c>
    </row>
    <row r="38" spans="1:7" x14ac:dyDescent="0.2">
      <c r="A38" s="121" t="s">
        <v>319</v>
      </c>
      <c r="B38" s="124">
        <f t="shared" ref="B38:G38" si="1">B31/B35</f>
        <v>0.5714285714285714</v>
      </c>
      <c r="C38" s="124">
        <f t="shared" si="1"/>
        <v>0</v>
      </c>
      <c r="D38" s="124">
        <f t="shared" si="1"/>
        <v>0.2857142857142857</v>
      </c>
      <c r="E38" s="124">
        <f t="shared" si="1"/>
        <v>0.14285714285714285</v>
      </c>
      <c r="F38" s="125">
        <f t="shared" si="1"/>
        <v>0</v>
      </c>
      <c r="G38" s="124">
        <f t="shared" si="1"/>
        <v>9.5238095238095233E-2</v>
      </c>
    </row>
    <row r="39" spans="1:7" x14ac:dyDescent="0.2">
      <c r="A39" s="123" t="s">
        <v>320</v>
      </c>
      <c r="B39" s="126">
        <f t="shared" ref="B39:G39" si="2">SUM(B31,B32)/B35</f>
        <v>0.80952380952380953</v>
      </c>
      <c r="C39" s="126">
        <f t="shared" si="2"/>
        <v>0.52380952380952384</v>
      </c>
      <c r="D39" s="126">
        <f t="shared" si="2"/>
        <v>0.8571428571428571</v>
      </c>
      <c r="E39" s="126">
        <f t="shared" si="2"/>
        <v>0.42857142857142855</v>
      </c>
      <c r="F39" s="126">
        <f t="shared" si="2"/>
        <v>0</v>
      </c>
      <c r="G39" s="126">
        <f t="shared" si="2"/>
        <v>0.23809523809523808</v>
      </c>
    </row>
  </sheetData>
  <mergeCells count="3">
    <mergeCell ref="A1:A2"/>
    <mergeCell ref="A30:G30"/>
    <mergeCell ref="B1:G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50FA2-C63D-F443-9008-6A0C00232DF0}">
  <dimension ref="A1:S47"/>
  <sheetViews>
    <sheetView topLeftCell="A2" zoomScale="138" zoomScaleNormal="150" workbookViewId="0">
      <selection activeCell="B5" sqref="B5"/>
    </sheetView>
  </sheetViews>
  <sheetFormatPr baseColWidth="10" defaultRowHeight="16" x14ac:dyDescent="0.2"/>
  <cols>
    <col min="1" max="1" width="12" style="6" customWidth="1"/>
    <col min="2" max="3" width="15.6640625" style="6" customWidth="1"/>
    <col min="4" max="4" width="15.6640625" style="1" customWidth="1"/>
    <col min="5" max="5" width="15.83203125" style="1" customWidth="1"/>
    <col min="6" max="6" width="15.6640625" style="1" customWidth="1"/>
    <col min="7" max="7" width="15.83203125" style="1" customWidth="1"/>
    <col min="8" max="9" width="15.6640625" style="6" customWidth="1"/>
    <col min="10" max="11" width="15.6640625" style="1" customWidth="1"/>
    <col min="12" max="13" width="15.83203125" style="1" customWidth="1"/>
    <col min="14" max="14" width="16.33203125" style="1" customWidth="1"/>
    <col min="15" max="17" width="15.83203125" style="1" customWidth="1"/>
    <col min="18" max="18" width="16" style="1" customWidth="1"/>
    <col min="19" max="19" width="15.83203125" style="1" customWidth="1"/>
  </cols>
  <sheetData>
    <row r="1" spans="1:19" x14ac:dyDescent="0.2">
      <c r="A1" s="184" t="s">
        <v>6</v>
      </c>
      <c r="B1" s="187" t="s">
        <v>14</v>
      </c>
      <c r="C1" s="187"/>
      <c r="D1" s="187"/>
      <c r="E1" s="187"/>
      <c r="F1" s="187"/>
      <c r="G1" s="187"/>
      <c r="H1" s="187"/>
      <c r="I1" s="187"/>
      <c r="J1" s="187"/>
      <c r="K1" s="187"/>
      <c r="L1" s="187"/>
      <c r="M1" s="187"/>
      <c r="N1" s="187"/>
      <c r="O1" s="187"/>
      <c r="P1" s="187"/>
      <c r="Q1" s="187"/>
      <c r="R1" s="187"/>
      <c r="S1" s="187"/>
    </row>
    <row r="2" spans="1:19" s="56" customFormat="1" x14ac:dyDescent="0.2">
      <c r="A2" s="185"/>
      <c r="B2" s="148" t="s">
        <v>5</v>
      </c>
      <c r="C2" s="148"/>
      <c r="D2" s="148"/>
      <c r="E2" s="148" t="s">
        <v>4</v>
      </c>
      <c r="F2" s="148"/>
      <c r="G2" s="148"/>
      <c r="H2" s="148" t="s">
        <v>321</v>
      </c>
      <c r="I2" s="148"/>
      <c r="J2" s="148"/>
      <c r="K2" s="148" t="s">
        <v>3</v>
      </c>
      <c r="L2" s="148"/>
      <c r="M2" s="148"/>
      <c r="N2" s="148" t="s">
        <v>2</v>
      </c>
      <c r="O2" s="148"/>
      <c r="P2" s="148"/>
      <c r="Q2" s="148" t="s">
        <v>1</v>
      </c>
      <c r="R2" s="148"/>
      <c r="S2" s="148"/>
    </row>
    <row r="3" spans="1:19" x14ac:dyDescent="0.2">
      <c r="A3" s="227"/>
      <c r="B3" s="47" t="s">
        <v>48</v>
      </c>
      <c r="C3" s="47" t="s">
        <v>49</v>
      </c>
      <c r="D3" s="47" t="s">
        <v>50</v>
      </c>
      <c r="E3" s="11" t="s">
        <v>48</v>
      </c>
      <c r="F3" s="11" t="s">
        <v>49</v>
      </c>
      <c r="G3" s="11" t="s">
        <v>50</v>
      </c>
      <c r="H3" s="11" t="s">
        <v>48</v>
      </c>
      <c r="I3" s="11" t="s">
        <v>49</v>
      </c>
      <c r="J3" s="11" t="s">
        <v>50</v>
      </c>
      <c r="K3" s="11" t="s">
        <v>48</v>
      </c>
      <c r="L3" s="11" t="s">
        <v>49</v>
      </c>
      <c r="M3" s="11" t="s">
        <v>50</v>
      </c>
      <c r="N3" s="11" t="s">
        <v>48</v>
      </c>
      <c r="O3" s="11" t="s">
        <v>49</v>
      </c>
      <c r="P3" s="11" t="s">
        <v>50</v>
      </c>
      <c r="Q3" s="11" t="s">
        <v>48</v>
      </c>
      <c r="R3" s="11" t="s">
        <v>49</v>
      </c>
      <c r="S3" s="11" t="s">
        <v>50</v>
      </c>
    </row>
    <row r="4" spans="1:19" x14ac:dyDescent="0.2">
      <c r="A4" s="18">
        <v>1</v>
      </c>
      <c r="B4" s="10" t="s">
        <v>0</v>
      </c>
      <c r="C4" s="48" t="s">
        <v>381</v>
      </c>
      <c r="D4" s="10" t="s">
        <v>0</v>
      </c>
      <c r="E4" s="218" t="s">
        <v>95</v>
      </c>
      <c r="F4" s="219"/>
      <c r="G4" s="220"/>
      <c r="H4" s="114" t="s">
        <v>0</v>
      </c>
      <c r="I4" s="80" t="s">
        <v>356</v>
      </c>
      <c r="J4" s="114" t="s">
        <v>0</v>
      </c>
      <c r="K4" s="218" t="s">
        <v>69</v>
      </c>
      <c r="L4" s="219"/>
      <c r="M4" s="220"/>
      <c r="N4" s="221" t="s">
        <v>70</v>
      </c>
      <c r="O4" s="222"/>
      <c r="P4" s="223"/>
      <c r="Q4" s="3" t="s">
        <v>299</v>
      </c>
      <c r="R4" s="114" t="s">
        <v>0</v>
      </c>
      <c r="S4" s="3" t="s">
        <v>301</v>
      </c>
    </row>
    <row r="5" spans="1:19" x14ac:dyDescent="0.2">
      <c r="A5" s="18">
        <v>2</v>
      </c>
      <c r="B5" s="17" t="s">
        <v>64</v>
      </c>
      <c r="C5" s="10" t="s">
        <v>0</v>
      </c>
      <c r="D5" s="10" t="s">
        <v>0</v>
      </c>
      <c r="E5" s="224" t="s">
        <v>71</v>
      </c>
      <c r="F5" s="225"/>
      <c r="G5" s="226"/>
      <c r="H5" s="114" t="s">
        <v>0</v>
      </c>
      <c r="I5" s="79" t="s">
        <v>357</v>
      </c>
      <c r="J5" s="130" t="s">
        <v>324</v>
      </c>
      <c r="K5" s="57" t="s">
        <v>43</v>
      </c>
      <c r="L5" s="57" t="s">
        <v>43</v>
      </c>
      <c r="M5" s="57" t="s">
        <v>43</v>
      </c>
      <c r="N5" s="221" t="s">
        <v>70</v>
      </c>
      <c r="O5" s="222"/>
      <c r="P5" s="223"/>
      <c r="Q5" s="98" t="s">
        <v>245</v>
      </c>
      <c r="R5" s="98" t="s">
        <v>245</v>
      </c>
      <c r="S5" s="98" t="s">
        <v>302</v>
      </c>
    </row>
    <row r="6" spans="1:19" x14ac:dyDescent="0.2">
      <c r="A6" s="18">
        <v>3</v>
      </c>
      <c r="B6" s="10" t="s">
        <v>0</v>
      </c>
      <c r="C6" s="10" t="s">
        <v>0</v>
      </c>
      <c r="D6" s="10" t="s">
        <v>0</v>
      </c>
      <c r="E6" s="218" t="s">
        <v>95</v>
      </c>
      <c r="F6" s="219"/>
      <c r="G6" s="220"/>
      <c r="H6" s="114" t="s">
        <v>0</v>
      </c>
      <c r="I6" s="114" t="s">
        <v>0</v>
      </c>
      <c r="J6" s="114" t="s">
        <v>0</v>
      </c>
      <c r="K6" s="10" t="s">
        <v>0</v>
      </c>
      <c r="L6" s="10" t="s">
        <v>0</v>
      </c>
      <c r="M6" s="10" t="s">
        <v>300</v>
      </c>
      <c r="N6" s="221" t="s">
        <v>70</v>
      </c>
      <c r="O6" s="222"/>
      <c r="P6" s="223"/>
      <c r="Q6" s="98" t="s">
        <v>303</v>
      </c>
      <c r="R6" s="98" t="s">
        <v>303</v>
      </c>
      <c r="S6" s="98" t="s">
        <v>303</v>
      </c>
    </row>
    <row r="7" spans="1:19" x14ac:dyDescent="0.2">
      <c r="A7" s="18">
        <v>4</v>
      </c>
      <c r="B7" s="10" t="s">
        <v>0</v>
      </c>
      <c r="C7" s="10" t="s">
        <v>0</v>
      </c>
      <c r="D7" s="10" t="s">
        <v>0</v>
      </c>
      <c r="E7" s="10" t="s">
        <v>0</v>
      </c>
      <c r="F7" s="10" t="s">
        <v>0</v>
      </c>
      <c r="G7" s="130" t="s">
        <v>324</v>
      </c>
      <c r="H7" s="79" t="s">
        <v>326</v>
      </c>
      <c r="I7" s="79" t="s">
        <v>326</v>
      </c>
      <c r="J7" s="79" t="s">
        <v>326</v>
      </c>
      <c r="K7" s="181" t="s">
        <v>74</v>
      </c>
      <c r="L7" s="182"/>
      <c r="M7" s="183"/>
      <c r="N7" s="218" t="s">
        <v>72</v>
      </c>
      <c r="O7" s="219"/>
      <c r="P7" s="220"/>
      <c r="Q7" s="114" t="s">
        <v>0</v>
      </c>
      <c r="R7" s="114" t="s">
        <v>0</v>
      </c>
      <c r="S7" s="3" t="s">
        <v>301</v>
      </c>
    </row>
    <row r="8" spans="1:19" x14ac:dyDescent="0.2">
      <c r="A8" s="18">
        <v>5</v>
      </c>
      <c r="B8" s="10" t="s">
        <v>0</v>
      </c>
      <c r="C8" s="10" t="s">
        <v>0</v>
      </c>
      <c r="D8" s="10" t="s">
        <v>0</v>
      </c>
      <c r="E8" s="218" t="s">
        <v>95</v>
      </c>
      <c r="F8" s="219"/>
      <c r="G8" s="220"/>
      <c r="H8" s="114" t="s">
        <v>0</v>
      </c>
      <c r="I8" s="79" t="s">
        <v>358</v>
      </c>
      <c r="J8" s="114" t="s">
        <v>0</v>
      </c>
      <c r="K8" s="199" t="s">
        <v>75</v>
      </c>
      <c r="L8" s="200"/>
      <c r="M8" s="201"/>
      <c r="N8" s="221" t="s">
        <v>70</v>
      </c>
      <c r="O8" s="222"/>
      <c r="P8" s="223"/>
      <c r="Q8" s="114" t="s">
        <v>0</v>
      </c>
      <c r="R8" s="114" t="s">
        <v>0</v>
      </c>
      <c r="S8" s="114" t="s">
        <v>0</v>
      </c>
    </row>
    <row r="9" spans="1:19" x14ac:dyDescent="0.2">
      <c r="A9" s="18">
        <v>6</v>
      </c>
      <c r="B9" s="51" t="s">
        <v>0</v>
      </c>
      <c r="C9" s="51" t="s">
        <v>0</v>
      </c>
      <c r="D9" s="51" t="s">
        <v>0</v>
      </c>
      <c r="E9" s="60" t="s">
        <v>96</v>
      </c>
      <c r="F9" s="60" t="s">
        <v>0</v>
      </c>
      <c r="G9" s="60" t="s">
        <v>45</v>
      </c>
      <c r="H9" s="134" t="s">
        <v>358</v>
      </c>
      <c r="I9" s="134" t="s">
        <v>358</v>
      </c>
      <c r="J9" s="134" t="s">
        <v>358</v>
      </c>
      <c r="K9" s="60"/>
      <c r="L9" s="60"/>
      <c r="M9" s="60"/>
      <c r="N9" s="60"/>
      <c r="O9" s="60"/>
      <c r="P9" s="60"/>
      <c r="Q9" s="60"/>
      <c r="R9" s="51" t="s">
        <v>0</v>
      </c>
      <c r="S9" s="60"/>
    </row>
    <row r="10" spans="1:19" x14ac:dyDescent="0.2">
      <c r="A10" s="18">
        <v>7</v>
      </c>
      <c r="B10" s="50" t="s">
        <v>63</v>
      </c>
      <c r="C10" s="50" t="s">
        <v>63</v>
      </c>
      <c r="D10" s="50" t="s">
        <v>65</v>
      </c>
      <c r="E10" s="181" t="s">
        <v>93</v>
      </c>
      <c r="F10" s="182"/>
      <c r="G10" s="183"/>
      <c r="H10" s="114" t="s">
        <v>0</v>
      </c>
      <c r="I10" s="130" t="s">
        <v>359</v>
      </c>
      <c r="J10" s="130" t="s">
        <v>324</v>
      </c>
      <c r="K10" s="10" t="s">
        <v>0</v>
      </c>
      <c r="L10" s="64" t="s">
        <v>45</v>
      </c>
      <c r="M10" s="64" t="s">
        <v>45</v>
      </c>
      <c r="N10" s="221" t="s">
        <v>70</v>
      </c>
      <c r="O10" s="222"/>
      <c r="P10" s="223"/>
      <c r="Q10" s="3" t="s">
        <v>304</v>
      </c>
      <c r="R10" s="83" t="s">
        <v>305</v>
      </c>
      <c r="S10" s="3" t="s">
        <v>301</v>
      </c>
    </row>
    <row r="11" spans="1:19" x14ac:dyDescent="0.2">
      <c r="A11" s="18">
        <v>8</v>
      </c>
      <c r="B11" s="51" t="s">
        <v>63</v>
      </c>
      <c r="C11" s="51" t="s">
        <v>0</v>
      </c>
      <c r="D11" s="51" t="s">
        <v>0</v>
      </c>
      <c r="E11" s="228" t="s">
        <v>93</v>
      </c>
      <c r="F11" s="229"/>
      <c r="G11" s="230"/>
      <c r="H11" s="134"/>
      <c r="I11" s="76"/>
      <c r="J11" s="130" t="s">
        <v>360</v>
      </c>
      <c r="K11" s="61"/>
      <c r="L11" s="61"/>
      <c r="M11" s="64" t="s">
        <v>45</v>
      </c>
      <c r="N11" s="233"/>
      <c r="O11" s="234"/>
      <c r="P11" s="72" t="s">
        <v>70</v>
      </c>
      <c r="Q11" s="115" t="s">
        <v>306</v>
      </c>
      <c r="R11" s="116"/>
      <c r="S11" s="113"/>
    </row>
    <row r="12" spans="1:19" x14ac:dyDescent="0.2">
      <c r="A12" s="18">
        <v>9</v>
      </c>
      <c r="B12" s="10" t="s">
        <v>58</v>
      </c>
      <c r="C12" s="10" t="s">
        <v>58</v>
      </c>
      <c r="D12" s="10" t="s">
        <v>58</v>
      </c>
      <c r="E12" s="10" t="s">
        <v>0</v>
      </c>
      <c r="F12" s="58" t="s">
        <v>81</v>
      </c>
      <c r="G12" s="10" t="s">
        <v>0</v>
      </c>
      <c r="H12" s="114" t="s">
        <v>0</v>
      </c>
      <c r="I12" s="114" t="s">
        <v>0</v>
      </c>
      <c r="J12" s="114" t="s">
        <v>0</v>
      </c>
      <c r="K12" s="65" t="s">
        <v>76</v>
      </c>
      <c r="L12" s="10" t="s">
        <v>0</v>
      </c>
      <c r="M12" s="66" t="s">
        <v>77</v>
      </c>
      <c r="N12" s="218" t="s">
        <v>72</v>
      </c>
      <c r="O12" s="219"/>
      <c r="P12" s="220"/>
      <c r="Q12" s="3" t="s">
        <v>307</v>
      </c>
      <c r="R12" s="10" t="s">
        <v>58</v>
      </c>
      <c r="S12" s="10" t="s">
        <v>58</v>
      </c>
    </row>
    <row r="13" spans="1:19" x14ac:dyDescent="0.2">
      <c r="A13" s="18">
        <v>10</v>
      </c>
      <c r="B13" s="10" t="s">
        <v>0</v>
      </c>
      <c r="C13" s="10" t="s">
        <v>0</v>
      </c>
      <c r="D13" s="10" t="s">
        <v>0</v>
      </c>
      <c r="E13" s="181" t="s">
        <v>97</v>
      </c>
      <c r="F13" s="182"/>
      <c r="G13" s="183"/>
      <c r="H13" s="114" t="s">
        <v>0</v>
      </c>
      <c r="I13" s="79" t="s">
        <v>361</v>
      </c>
      <c r="J13" s="114" t="s">
        <v>0</v>
      </c>
      <c r="K13" s="10" t="s">
        <v>0</v>
      </c>
      <c r="L13" s="10" t="s">
        <v>0</v>
      </c>
      <c r="M13" s="10" t="s">
        <v>0</v>
      </c>
      <c r="N13" s="221" t="s">
        <v>70</v>
      </c>
      <c r="O13" s="222"/>
      <c r="P13" s="223"/>
      <c r="Q13" s="98" t="s">
        <v>245</v>
      </c>
      <c r="R13" s="98" t="s">
        <v>245</v>
      </c>
      <c r="S13" s="98" t="s">
        <v>245</v>
      </c>
    </row>
    <row r="14" spans="1:19" x14ac:dyDescent="0.2">
      <c r="A14" s="18">
        <v>11</v>
      </c>
      <c r="B14" s="10" t="s">
        <v>0</v>
      </c>
      <c r="C14" s="10" t="s">
        <v>0</v>
      </c>
      <c r="D14" s="10" t="s">
        <v>0</v>
      </c>
      <c r="E14" s="218" t="s">
        <v>95</v>
      </c>
      <c r="F14" s="219"/>
      <c r="G14" s="220"/>
      <c r="H14" s="79" t="s">
        <v>326</v>
      </c>
      <c r="I14" s="79" t="s">
        <v>326</v>
      </c>
      <c r="J14" s="79" t="s">
        <v>326</v>
      </c>
      <c r="K14" s="59" t="s">
        <v>78</v>
      </c>
      <c r="L14" s="10" t="s">
        <v>0</v>
      </c>
      <c r="M14" s="10" t="s">
        <v>0</v>
      </c>
      <c r="N14" s="218" t="s">
        <v>72</v>
      </c>
      <c r="O14" s="219"/>
      <c r="P14" s="220"/>
      <c r="Q14" s="199" t="s">
        <v>308</v>
      </c>
      <c r="R14" s="200"/>
      <c r="S14" s="201"/>
    </row>
    <row r="15" spans="1:19" x14ac:dyDescent="0.2">
      <c r="A15" s="18">
        <v>12</v>
      </c>
      <c r="B15" s="10" t="s">
        <v>0</v>
      </c>
      <c r="C15" s="10" t="s">
        <v>0</v>
      </c>
      <c r="D15" s="10" t="s">
        <v>0</v>
      </c>
      <c r="E15" s="58" t="s">
        <v>98</v>
      </c>
      <c r="F15" s="58" t="s">
        <v>81</v>
      </c>
      <c r="G15" s="58" t="s">
        <v>98</v>
      </c>
      <c r="H15" s="80" t="s">
        <v>362</v>
      </c>
      <c r="I15" s="80" t="s">
        <v>327</v>
      </c>
      <c r="J15" s="114" t="s">
        <v>0</v>
      </c>
      <c r="K15" s="59" t="s">
        <v>80</v>
      </c>
      <c r="L15" s="10" t="s">
        <v>79</v>
      </c>
      <c r="M15" s="67" t="s">
        <v>80</v>
      </c>
      <c r="N15" s="221" t="s">
        <v>70</v>
      </c>
      <c r="O15" s="222"/>
      <c r="P15" s="223"/>
      <c r="Q15" s="114" t="s">
        <v>0</v>
      </c>
      <c r="R15" s="114" t="s">
        <v>0</v>
      </c>
      <c r="S15" s="114" t="s">
        <v>0</v>
      </c>
    </row>
    <row r="16" spans="1:19" x14ac:dyDescent="0.2">
      <c r="A16" s="18">
        <v>13</v>
      </c>
      <c r="B16" s="17" t="s">
        <v>64</v>
      </c>
      <c r="C16" s="10" t="s">
        <v>0</v>
      </c>
      <c r="D16" s="49" t="s">
        <v>59</v>
      </c>
      <c r="E16" s="58" t="s">
        <v>98</v>
      </c>
      <c r="F16" s="10" t="s">
        <v>0</v>
      </c>
      <c r="G16" s="58" t="s">
        <v>98</v>
      </c>
      <c r="H16" s="79" t="s">
        <v>326</v>
      </c>
      <c r="I16" s="79" t="s">
        <v>326</v>
      </c>
      <c r="J16" s="79" t="s">
        <v>326</v>
      </c>
      <c r="K16" s="57" t="s">
        <v>73</v>
      </c>
      <c r="L16" s="64" t="s">
        <v>82</v>
      </c>
      <c r="M16" s="68" t="s">
        <v>81</v>
      </c>
      <c r="N16" s="218" t="s">
        <v>72</v>
      </c>
      <c r="O16" s="219"/>
      <c r="P16" s="220"/>
      <c r="Q16" s="3" t="s">
        <v>236</v>
      </c>
      <c r="R16" s="114" t="s">
        <v>309</v>
      </c>
      <c r="S16" s="3" t="s">
        <v>236</v>
      </c>
    </row>
    <row r="17" spans="1:19" x14ac:dyDescent="0.2">
      <c r="A17" s="18">
        <v>14</v>
      </c>
      <c r="B17" s="51" t="s">
        <v>0</v>
      </c>
      <c r="C17" s="51" t="s">
        <v>0</v>
      </c>
      <c r="D17" s="51" t="s">
        <v>0</v>
      </c>
      <c r="E17" s="235"/>
      <c r="F17" s="236"/>
      <c r="G17" s="237"/>
      <c r="H17" s="134" t="s">
        <v>28</v>
      </c>
      <c r="I17" s="76"/>
      <c r="J17" s="108"/>
      <c r="K17" s="61"/>
      <c r="L17" s="61" t="s">
        <v>0</v>
      </c>
      <c r="M17" s="61" t="s">
        <v>0</v>
      </c>
      <c r="N17" s="61"/>
      <c r="O17" s="61"/>
      <c r="P17" s="61"/>
      <c r="Q17" s="61"/>
      <c r="R17" s="61"/>
      <c r="S17" s="61"/>
    </row>
    <row r="18" spans="1:19" x14ac:dyDescent="0.2">
      <c r="A18" s="18">
        <v>15</v>
      </c>
      <c r="B18" s="51" t="s">
        <v>0</v>
      </c>
      <c r="C18" s="51" t="s">
        <v>0</v>
      </c>
      <c r="D18" s="51" t="s">
        <v>0</v>
      </c>
      <c r="E18" s="228"/>
      <c r="F18" s="229"/>
      <c r="G18" s="230"/>
      <c r="H18" s="134"/>
      <c r="I18" s="76"/>
      <c r="J18" s="135" t="s">
        <v>324</v>
      </c>
      <c r="K18" s="61" t="s">
        <v>83</v>
      </c>
      <c r="L18" s="61"/>
      <c r="M18" s="61"/>
      <c r="N18" s="61"/>
      <c r="O18" s="61"/>
      <c r="P18" s="61"/>
      <c r="Q18" s="61"/>
      <c r="R18" s="61"/>
      <c r="S18" s="61"/>
    </row>
    <row r="19" spans="1:19" x14ac:dyDescent="0.2">
      <c r="A19" s="18">
        <v>16</v>
      </c>
      <c r="B19" s="10" t="s">
        <v>0</v>
      </c>
      <c r="C19" s="10" t="s">
        <v>0</v>
      </c>
      <c r="D19" s="10" t="s">
        <v>0</v>
      </c>
      <c r="E19" s="218" t="s">
        <v>99</v>
      </c>
      <c r="F19" s="219"/>
      <c r="G19" s="220"/>
      <c r="H19" s="114" t="s">
        <v>0</v>
      </c>
      <c r="I19" s="114" t="s">
        <v>0</v>
      </c>
      <c r="J19" s="114" t="s">
        <v>0</v>
      </c>
      <c r="K19" s="191" t="s">
        <v>84</v>
      </c>
      <c r="L19" s="192"/>
      <c r="M19" s="193"/>
      <c r="N19" s="221" t="s">
        <v>70</v>
      </c>
      <c r="O19" s="222"/>
      <c r="P19" s="223"/>
      <c r="Q19" s="114" t="s">
        <v>0</v>
      </c>
      <c r="R19" s="114" t="s">
        <v>0</v>
      </c>
      <c r="S19" s="114" t="s">
        <v>0</v>
      </c>
    </row>
    <row r="20" spans="1:19" x14ac:dyDescent="0.2">
      <c r="A20" s="18">
        <v>17</v>
      </c>
      <c r="B20" s="10" t="s">
        <v>0</v>
      </c>
      <c r="C20" s="10" t="s">
        <v>0</v>
      </c>
      <c r="D20" s="10" t="s">
        <v>0</v>
      </c>
      <c r="E20" s="218" t="s">
        <v>100</v>
      </c>
      <c r="F20" s="219"/>
      <c r="G20" s="220"/>
      <c r="H20" s="80" t="s">
        <v>328</v>
      </c>
      <c r="I20" s="80" t="s">
        <v>328</v>
      </c>
      <c r="J20" s="80" t="s">
        <v>328</v>
      </c>
      <c r="K20" s="191" t="s">
        <v>85</v>
      </c>
      <c r="L20" s="192"/>
      <c r="M20" s="193"/>
      <c r="N20" s="221" t="s">
        <v>70</v>
      </c>
      <c r="O20" s="222"/>
      <c r="P20" s="223"/>
      <c r="Q20" s="181" t="s">
        <v>70</v>
      </c>
      <c r="R20" s="182"/>
      <c r="S20" s="183"/>
    </row>
    <row r="21" spans="1:19" x14ac:dyDescent="0.2">
      <c r="A21" s="18">
        <v>18</v>
      </c>
      <c r="B21" s="10" t="s">
        <v>0</v>
      </c>
      <c r="C21" s="10" t="s">
        <v>0</v>
      </c>
      <c r="D21" s="10" t="s">
        <v>0</v>
      </c>
      <c r="E21" s="63" t="s">
        <v>81</v>
      </c>
      <c r="F21" s="73" t="s">
        <v>101</v>
      </c>
      <c r="G21" s="10" t="s">
        <v>0</v>
      </c>
      <c r="H21" s="114" t="s">
        <v>0</v>
      </c>
      <c r="I21" s="80" t="s">
        <v>356</v>
      </c>
      <c r="J21" s="114" t="s">
        <v>0</v>
      </c>
      <c r="K21" s="10" t="s">
        <v>0</v>
      </c>
      <c r="L21" s="10" t="s">
        <v>0</v>
      </c>
      <c r="M21" s="10" t="s">
        <v>0</v>
      </c>
      <c r="N21" s="221" t="s">
        <v>70</v>
      </c>
      <c r="O21" s="222"/>
      <c r="P21" s="223"/>
      <c r="Q21" s="199" t="s">
        <v>304</v>
      </c>
      <c r="R21" s="200"/>
      <c r="S21" s="201"/>
    </row>
    <row r="22" spans="1:19" x14ac:dyDescent="0.2">
      <c r="A22" s="18">
        <v>19</v>
      </c>
      <c r="B22" s="10" t="s">
        <v>0</v>
      </c>
      <c r="C22" s="10" t="s">
        <v>0</v>
      </c>
      <c r="D22" s="51" t="s">
        <v>0</v>
      </c>
      <c r="E22" s="181" t="s">
        <v>102</v>
      </c>
      <c r="F22" s="183"/>
      <c r="G22" s="60"/>
      <c r="H22" s="114" t="s">
        <v>0</v>
      </c>
      <c r="I22" s="114" t="s">
        <v>0</v>
      </c>
      <c r="J22" s="108" t="s">
        <v>363</v>
      </c>
      <c r="K22" s="57" t="s">
        <v>73</v>
      </c>
      <c r="L22" s="69" t="s">
        <v>86</v>
      </c>
      <c r="M22" s="60"/>
      <c r="N22" s="238" t="s">
        <v>72</v>
      </c>
      <c r="O22" s="239"/>
      <c r="P22" s="61"/>
      <c r="Q22" s="199" t="s">
        <v>306</v>
      </c>
      <c r="R22" s="200"/>
      <c r="S22" s="108"/>
    </row>
    <row r="23" spans="1:19" x14ac:dyDescent="0.2">
      <c r="A23" s="18">
        <v>20</v>
      </c>
      <c r="B23" s="10" t="s">
        <v>0</v>
      </c>
      <c r="C23" s="10" t="s">
        <v>0</v>
      </c>
      <c r="D23" s="10" t="s">
        <v>0</v>
      </c>
      <c r="E23" s="218" t="s">
        <v>103</v>
      </c>
      <c r="F23" s="219"/>
      <c r="G23" s="220"/>
      <c r="H23" s="114" t="s">
        <v>0</v>
      </c>
      <c r="I23" s="114" t="s">
        <v>0</v>
      </c>
      <c r="J23" s="114" t="s">
        <v>0</v>
      </c>
      <c r="K23" s="3" t="s">
        <v>87</v>
      </c>
      <c r="L23" s="64" t="s">
        <v>45</v>
      </c>
      <c r="M23" s="70" t="s">
        <v>88</v>
      </c>
      <c r="N23" s="218" t="s">
        <v>72</v>
      </c>
      <c r="O23" s="219"/>
      <c r="P23" s="220"/>
      <c r="Q23" s="114" t="s">
        <v>0</v>
      </c>
      <c r="R23" s="114" t="s">
        <v>0</v>
      </c>
      <c r="S23" s="3" t="s">
        <v>301</v>
      </c>
    </row>
    <row r="24" spans="1:19" x14ac:dyDescent="0.2">
      <c r="A24" s="18">
        <v>21</v>
      </c>
      <c r="B24" s="10" t="s">
        <v>0</v>
      </c>
      <c r="C24" s="10" t="s">
        <v>0</v>
      </c>
      <c r="D24" s="10" t="s">
        <v>0</v>
      </c>
      <c r="E24" s="181" t="s">
        <v>45</v>
      </c>
      <c r="F24" s="182"/>
      <c r="G24" s="183"/>
      <c r="H24" s="114" t="s">
        <v>0</v>
      </c>
      <c r="I24" s="79" t="s">
        <v>245</v>
      </c>
      <c r="J24" s="114" t="s">
        <v>0</v>
      </c>
      <c r="K24" s="57" t="s">
        <v>81</v>
      </c>
      <c r="L24" s="64" t="s">
        <v>45</v>
      </c>
      <c r="M24" s="68" t="s">
        <v>45</v>
      </c>
      <c r="N24" s="221" t="s">
        <v>70</v>
      </c>
      <c r="O24" s="222"/>
      <c r="P24" s="223"/>
      <c r="Q24" s="98" t="s">
        <v>194</v>
      </c>
      <c r="R24" s="114" t="s">
        <v>0</v>
      </c>
      <c r="S24" s="3" t="s">
        <v>301</v>
      </c>
    </row>
    <row r="25" spans="1:19" x14ac:dyDescent="0.2">
      <c r="A25" s="18">
        <v>22</v>
      </c>
      <c r="B25" s="10" t="s">
        <v>0</v>
      </c>
      <c r="C25" s="10" t="s">
        <v>0</v>
      </c>
      <c r="D25" s="10" t="s">
        <v>0</v>
      </c>
      <c r="E25" s="218" t="s">
        <v>95</v>
      </c>
      <c r="F25" s="219"/>
      <c r="G25" s="220"/>
      <c r="H25" s="80" t="s">
        <v>362</v>
      </c>
      <c r="I25" s="79" t="s">
        <v>364</v>
      </c>
      <c r="J25" s="79" t="s">
        <v>365</v>
      </c>
      <c r="K25" s="3" t="s">
        <v>89</v>
      </c>
      <c r="L25" s="10" t="s">
        <v>0</v>
      </c>
      <c r="M25" s="3" t="s">
        <v>90</v>
      </c>
      <c r="N25" s="221" t="s">
        <v>70</v>
      </c>
      <c r="O25" s="222"/>
      <c r="P25" s="223"/>
      <c r="Q25" s="3" t="s">
        <v>310</v>
      </c>
      <c r="R25" s="114" t="s">
        <v>309</v>
      </c>
      <c r="S25" s="3" t="s">
        <v>311</v>
      </c>
    </row>
    <row r="26" spans="1:19" x14ac:dyDescent="0.2">
      <c r="A26" s="18">
        <v>23</v>
      </c>
      <c r="B26" s="10" t="s">
        <v>0</v>
      </c>
      <c r="C26" s="10" t="s">
        <v>0</v>
      </c>
      <c r="D26" s="10" t="s">
        <v>0</v>
      </c>
      <c r="E26" s="218" t="s">
        <v>95</v>
      </c>
      <c r="F26" s="219"/>
      <c r="G26" s="220"/>
      <c r="H26" s="114" t="s">
        <v>0</v>
      </c>
      <c r="I26" s="80" t="s">
        <v>356</v>
      </c>
      <c r="J26" s="130" t="s">
        <v>324</v>
      </c>
      <c r="K26" s="57" t="s">
        <v>45</v>
      </c>
      <c r="L26" s="57" t="s">
        <v>45</v>
      </c>
      <c r="M26" s="57" t="s">
        <v>45</v>
      </c>
      <c r="N26" s="218" t="s">
        <v>72</v>
      </c>
      <c r="O26" s="219"/>
      <c r="P26" s="220"/>
      <c r="Q26" s="98" t="s">
        <v>194</v>
      </c>
      <c r="R26" s="114" t="s">
        <v>0</v>
      </c>
      <c r="S26" s="3" t="s">
        <v>301</v>
      </c>
    </row>
    <row r="27" spans="1:19" x14ac:dyDescent="0.2">
      <c r="A27" s="18">
        <v>24</v>
      </c>
      <c r="B27" s="10" t="s">
        <v>60</v>
      </c>
      <c r="C27" s="10" t="s">
        <v>61</v>
      </c>
      <c r="D27" s="10" t="s">
        <v>0</v>
      </c>
      <c r="E27" s="181" t="s">
        <v>45</v>
      </c>
      <c r="F27" s="183"/>
      <c r="G27" s="3" t="s">
        <v>104</v>
      </c>
      <c r="H27" s="79" t="s">
        <v>326</v>
      </c>
      <c r="I27" s="79" t="s">
        <v>326</v>
      </c>
      <c r="J27" s="79" t="s">
        <v>326</v>
      </c>
      <c r="K27" s="57" t="s">
        <v>45</v>
      </c>
      <c r="L27" s="57" t="s">
        <v>45</v>
      </c>
      <c r="M27" s="10" t="s">
        <v>0</v>
      </c>
      <c r="N27" s="218" t="s">
        <v>72</v>
      </c>
      <c r="O27" s="219"/>
      <c r="P27" s="220"/>
      <c r="Q27" s="98" t="s">
        <v>312</v>
      </c>
      <c r="R27" s="3" t="s">
        <v>313</v>
      </c>
      <c r="S27" s="114" t="s">
        <v>0</v>
      </c>
    </row>
    <row r="28" spans="1:19" x14ac:dyDescent="0.2">
      <c r="A28" s="18">
        <v>25</v>
      </c>
      <c r="B28" s="3" t="s">
        <v>62</v>
      </c>
      <c r="C28" s="10" t="s">
        <v>0</v>
      </c>
      <c r="D28" s="49" t="s">
        <v>324</v>
      </c>
      <c r="E28" s="181" t="s">
        <v>81</v>
      </c>
      <c r="F28" s="182"/>
      <c r="G28" s="183"/>
      <c r="H28" s="80" t="s">
        <v>366</v>
      </c>
      <c r="I28" s="79" t="s">
        <v>364</v>
      </c>
      <c r="J28" s="130" t="s">
        <v>324</v>
      </c>
      <c r="K28" s="57" t="s">
        <v>45</v>
      </c>
      <c r="L28" s="69" t="s">
        <v>91</v>
      </c>
      <c r="M28" s="69" t="s">
        <v>92</v>
      </c>
      <c r="N28" s="221" t="s">
        <v>70</v>
      </c>
      <c r="O28" s="222"/>
      <c r="P28" s="223"/>
      <c r="Q28" s="98" t="s">
        <v>194</v>
      </c>
      <c r="R28" s="3" t="s">
        <v>314</v>
      </c>
      <c r="S28" s="3" t="s">
        <v>315</v>
      </c>
    </row>
    <row r="29" spans="1:19" x14ac:dyDescent="0.2">
      <c r="A29" s="20">
        <v>26</v>
      </c>
      <c r="B29" s="52" t="s">
        <v>63</v>
      </c>
      <c r="C29" s="52" t="s">
        <v>63</v>
      </c>
      <c r="D29" s="52" t="s">
        <v>297</v>
      </c>
      <c r="E29" s="218" t="s">
        <v>95</v>
      </c>
      <c r="F29" s="219"/>
      <c r="G29" s="220"/>
      <c r="H29" s="79" t="s">
        <v>365</v>
      </c>
      <c r="I29" s="114" t="s">
        <v>0</v>
      </c>
      <c r="J29" s="130" t="s">
        <v>324</v>
      </c>
      <c r="K29" s="57" t="s">
        <v>45</v>
      </c>
      <c r="L29" s="57" t="s">
        <v>93</v>
      </c>
      <c r="M29" s="3" t="s">
        <v>94</v>
      </c>
      <c r="N29" s="221" t="s">
        <v>70</v>
      </c>
      <c r="O29" s="222"/>
      <c r="P29" s="223"/>
      <c r="Q29" s="98" t="s">
        <v>316</v>
      </c>
      <c r="R29" s="98" t="s">
        <v>245</v>
      </c>
      <c r="S29" s="98" t="s">
        <v>245</v>
      </c>
    </row>
    <row r="30" spans="1:19" x14ac:dyDescent="0.2">
      <c r="A30" s="7"/>
      <c r="B30" s="7"/>
      <c r="C30" s="7"/>
      <c r="D30" s="5"/>
      <c r="E30" s="5"/>
      <c r="F30" s="5"/>
      <c r="G30" s="5"/>
      <c r="H30" s="7"/>
      <c r="I30" s="7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 x14ac:dyDescent="0.2">
      <c r="A31" s="231" t="s">
        <v>54</v>
      </c>
      <c r="B31" s="232"/>
      <c r="C31" s="232"/>
      <c r="D31" s="232"/>
      <c r="E31" s="232"/>
      <c r="F31" s="232"/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2"/>
      <c r="S31" s="232"/>
    </row>
    <row r="32" spans="1:19" s="56" customFormat="1" x14ac:dyDescent="0.2">
      <c r="A32" s="55"/>
      <c r="B32" s="149" t="s">
        <v>66</v>
      </c>
      <c r="C32" s="150"/>
      <c r="D32" s="151"/>
      <c r="E32" s="149" t="s">
        <v>67</v>
      </c>
      <c r="F32" s="150"/>
      <c r="G32" s="151"/>
      <c r="H32" s="149" t="s">
        <v>321</v>
      </c>
      <c r="I32" s="150"/>
      <c r="J32" s="151"/>
      <c r="K32" s="149" t="s">
        <v>3</v>
      </c>
      <c r="L32" s="150"/>
      <c r="M32" s="151"/>
      <c r="N32" s="149" t="s">
        <v>2</v>
      </c>
      <c r="O32" s="150"/>
      <c r="P32" s="151"/>
      <c r="Q32" s="149" t="s">
        <v>1</v>
      </c>
      <c r="R32" s="150"/>
      <c r="S32" s="151"/>
    </row>
    <row r="33" spans="1:19" x14ac:dyDescent="0.2">
      <c r="A33" s="21" t="s">
        <v>55</v>
      </c>
      <c r="B33" s="21">
        <v>17</v>
      </c>
      <c r="C33" s="21">
        <v>19</v>
      </c>
      <c r="D33" s="21">
        <v>17</v>
      </c>
      <c r="E33" s="21">
        <v>2</v>
      </c>
      <c r="F33" s="21">
        <v>2</v>
      </c>
      <c r="G33" s="21">
        <v>2</v>
      </c>
      <c r="H33" s="21">
        <v>13</v>
      </c>
      <c r="I33" s="21">
        <v>6</v>
      </c>
      <c r="J33" s="21">
        <v>10</v>
      </c>
      <c r="K33" s="21">
        <v>4</v>
      </c>
      <c r="L33" s="21">
        <v>7</v>
      </c>
      <c r="M33" s="21">
        <v>5</v>
      </c>
      <c r="N33" s="21">
        <v>0</v>
      </c>
      <c r="O33" s="21">
        <v>0</v>
      </c>
      <c r="P33" s="21">
        <v>0</v>
      </c>
      <c r="Q33" s="21">
        <v>5</v>
      </c>
      <c r="R33" s="21">
        <v>11</v>
      </c>
      <c r="S33" s="21">
        <v>5</v>
      </c>
    </row>
    <row r="34" spans="1:19" x14ac:dyDescent="0.2">
      <c r="A34" s="22" t="s">
        <v>317</v>
      </c>
      <c r="B34" s="22">
        <v>3</v>
      </c>
      <c r="C34" s="22">
        <v>1</v>
      </c>
      <c r="D34" s="22">
        <v>2</v>
      </c>
      <c r="E34" s="22">
        <v>0</v>
      </c>
      <c r="F34" s="22">
        <v>1</v>
      </c>
      <c r="G34" s="22">
        <v>2</v>
      </c>
      <c r="H34" s="22">
        <v>4</v>
      </c>
      <c r="I34" s="22">
        <v>6</v>
      </c>
      <c r="J34" s="22">
        <v>7</v>
      </c>
      <c r="K34" s="22">
        <v>5</v>
      </c>
      <c r="L34" s="22">
        <v>3</v>
      </c>
      <c r="M34" s="22">
        <v>6</v>
      </c>
      <c r="N34" s="22">
        <v>0</v>
      </c>
      <c r="O34" s="22">
        <v>0</v>
      </c>
      <c r="P34" s="22">
        <v>0</v>
      </c>
      <c r="Q34" s="22">
        <v>8</v>
      </c>
      <c r="R34" s="22">
        <v>5</v>
      </c>
      <c r="S34" s="22">
        <v>12</v>
      </c>
    </row>
    <row r="35" spans="1:19" x14ac:dyDescent="0.2">
      <c r="A35" s="23" t="s">
        <v>56</v>
      </c>
      <c r="B35" s="23">
        <v>2</v>
      </c>
      <c r="C35" s="23">
        <v>2</v>
      </c>
      <c r="D35" s="23">
        <v>2</v>
      </c>
      <c r="E35" s="23">
        <v>20</v>
      </c>
      <c r="F35" s="23">
        <v>19</v>
      </c>
      <c r="G35" s="23">
        <v>17</v>
      </c>
      <c r="H35" s="23">
        <v>5</v>
      </c>
      <c r="I35" s="23">
        <v>10</v>
      </c>
      <c r="J35" s="23">
        <v>5</v>
      </c>
      <c r="K35" s="23">
        <v>13</v>
      </c>
      <c r="L35" s="23">
        <v>12</v>
      </c>
      <c r="M35" s="23">
        <v>11</v>
      </c>
      <c r="N35" s="23">
        <v>22</v>
      </c>
      <c r="O35" s="23">
        <v>22</v>
      </c>
      <c r="P35" s="23">
        <v>22</v>
      </c>
      <c r="Q35" s="23">
        <v>9</v>
      </c>
      <c r="R35" s="23">
        <v>6</v>
      </c>
      <c r="S35" s="23">
        <v>5</v>
      </c>
    </row>
    <row r="36" spans="1:19" x14ac:dyDescent="0.2">
      <c r="A36" s="43" t="s">
        <v>57</v>
      </c>
      <c r="B36" s="53">
        <v>4</v>
      </c>
      <c r="C36" s="62">
        <v>4</v>
      </c>
      <c r="D36" s="62">
        <v>5</v>
      </c>
      <c r="E36" s="53">
        <v>4</v>
      </c>
      <c r="F36" s="62">
        <v>4</v>
      </c>
      <c r="G36" s="62">
        <v>5</v>
      </c>
      <c r="H36" s="53">
        <v>4</v>
      </c>
      <c r="I36" s="62">
        <v>4</v>
      </c>
      <c r="J36" s="62">
        <v>4</v>
      </c>
      <c r="K36" s="53">
        <v>4</v>
      </c>
      <c r="L36" s="62">
        <v>4</v>
      </c>
      <c r="M36" s="62">
        <v>4</v>
      </c>
      <c r="N36" s="53">
        <v>4</v>
      </c>
      <c r="O36" s="62">
        <v>4</v>
      </c>
      <c r="P36" s="62">
        <v>4</v>
      </c>
      <c r="Q36" s="53">
        <v>4</v>
      </c>
      <c r="R36" s="62">
        <v>4</v>
      </c>
      <c r="S36" s="62">
        <v>4</v>
      </c>
    </row>
    <row r="37" spans="1:19" x14ac:dyDescent="0.2">
      <c r="A37" s="44" t="s">
        <v>68</v>
      </c>
      <c r="B37" s="54">
        <f t="shared" ref="B37:P37" si="0">SUM(B33:B35)</f>
        <v>22</v>
      </c>
      <c r="C37" s="54">
        <f t="shared" si="0"/>
        <v>22</v>
      </c>
      <c r="D37" s="54">
        <f t="shared" si="0"/>
        <v>21</v>
      </c>
      <c r="E37" s="54">
        <f t="shared" si="0"/>
        <v>22</v>
      </c>
      <c r="F37" s="54">
        <f t="shared" si="0"/>
        <v>22</v>
      </c>
      <c r="G37" s="54">
        <f t="shared" si="0"/>
        <v>21</v>
      </c>
      <c r="H37" s="54">
        <f t="shared" si="0"/>
        <v>22</v>
      </c>
      <c r="I37" s="54">
        <f t="shared" si="0"/>
        <v>22</v>
      </c>
      <c r="J37" s="54">
        <f t="shared" si="0"/>
        <v>22</v>
      </c>
      <c r="K37" s="54">
        <f t="shared" si="0"/>
        <v>22</v>
      </c>
      <c r="L37" s="54">
        <f t="shared" si="0"/>
        <v>22</v>
      </c>
      <c r="M37" s="54">
        <f t="shared" si="0"/>
        <v>22</v>
      </c>
      <c r="N37" s="54">
        <f t="shared" si="0"/>
        <v>22</v>
      </c>
      <c r="O37" s="54">
        <f t="shared" si="0"/>
        <v>22</v>
      </c>
      <c r="P37" s="54">
        <f t="shared" si="0"/>
        <v>22</v>
      </c>
      <c r="Q37" s="54">
        <f t="shared" ref="Q37:S37" si="1">SUM(Q33:Q35)</f>
        <v>22</v>
      </c>
      <c r="R37" s="54">
        <f t="shared" si="1"/>
        <v>22</v>
      </c>
      <c r="S37" s="54">
        <f t="shared" si="1"/>
        <v>22</v>
      </c>
    </row>
    <row r="38" spans="1:19" s="122" customFormat="1" x14ac:dyDescent="0.2">
      <c r="A38" s="121" t="s">
        <v>319</v>
      </c>
      <c r="B38" s="152">
        <f>SUM(B33:D33)/SUM(B37:D37)</f>
        <v>0.81538461538461537</v>
      </c>
      <c r="C38" s="152"/>
      <c r="D38" s="152"/>
      <c r="E38" s="152">
        <f>SUM(E33:G33)/SUM(E37:G37)</f>
        <v>9.2307692307692313E-2</v>
      </c>
      <c r="F38" s="152"/>
      <c r="G38" s="152"/>
      <c r="H38" s="152">
        <f>SUM(H33:J33)/SUM(H37:J37)</f>
        <v>0.43939393939393939</v>
      </c>
      <c r="I38" s="152"/>
      <c r="J38" s="152"/>
      <c r="K38" s="152">
        <f>SUM(K33:M33)/SUM(K37:M37)</f>
        <v>0.24242424242424243</v>
      </c>
      <c r="L38" s="152"/>
      <c r="M38" s="152"/>
      <c r="N38" s="152">
        <f>SUM(N32,O32,P32,P33,O33,N33)/SUM(N36,O36,P36)</f>
        <v>0</v>
      </c>
      <c r="O38" s="152"/>
      <c r="P38" s="152"/>
      <c r="Q38" s="152">
        <f>SUM(Q33:S33)/SUM(Q37:S37)</f>
        <v>0.31818181818181818</v>
      </c>
      <c r="R38" s="152"/>
      <c r="S38" s="152"/>
    </row>
    <row r="39" spans="1:19" s="122" customFormat="1" x14ac:dyDescent="0.2">
      <c r="A39" s="123" t="s">
        <v>320</v>
      </c>
      <c r="B39" s="153">
        <f>SUM(B33,C33,D33,D34,C34,B34)/SUM(B37,C37,D37)</f>
        <v>0.90769230769230769</v>
      </c>
      <c r="C39" s="153"/>
      <c r="D39" s="153"/>
      <c r="E39" s="153">
        <f>SUM(E33,F33,G33,G34,F34,E34)/SUM(E37,F37,G37)</f>
        <v>0.13846153846153847</v>
      </c>
      <c r="F39" s="153"/>
      <c r="G39" s="153"/>
      <c r="H39" s="153">
        <f>SUM(H33,I33,J33,J34,I34,H34)/SUM(H37,I37,J37)</f>
        <v>0.69696969696969702</v>
      </c>
      <c r="I39" s="153"/>
      <c r="J39" s="153"/>
      <c r="K39" s="153">
        <f>SUM(K33,L33,M33,M34,L34,K34)/SUM(K37,L37,M37)</f>
        <v>0.45454545454545453</v>
      </c>
      <c r="L39" s="153"/>
      <c r="M39" s="153"/>
      <c r="N39" s="153">
        <f>SUM(N33,O33,P33,P34,O34,N34)/SUM(N37,O37,P37)</f>
        <v>0</v>
      </c>
      <c r="O39" s="153"/>
      <c r="P39" s="153"/>
      <c r="Q39" s="153">
        <f>SUM(Q33,R33,S33,S34,R34,Q34)/SUM(Q37,R37,S37)</f>
        <v>0.69696969696969702</v>
      </c>
      <c r="R39" s="153"/>
      <c r="S39" s="153"/>
    </row>
    <row r="40" spans="1:19" x14ac:dyDescent="0.2"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</row>
    <row r="41" spans="1:19" x14ac:dyDescent="0.2">
      <c r="A41" s="240" t="s">
        <v>298</v>
      </c>
      <c r="B41" s="240"/>
      <c r="C41" s="240"/>
      <c r="D41" s="240"/>
      <c r="E41" s="240"/>
      <c r="H41"/>
      <c r="I41"/>
      <c r="J41"/>
    </row>
    <row r="42" spans="1:19" x14ac:dyDescent="0.2">
      <c r="A42" s="240" t="s">
        <v>130</v>
      </c>
      <c r="B42" s="240"/>
      <c r="C42" s="240"/>
      <c r="D42" s="240"/>
      <c r="E42" s="240"/>
      <c r="H42"/>
      <c r="I42"/>
      <c r="J42"/>
    </row>
    <row r="43" spans="1:19" x14ac:dyDescent="0.2">
      <c r="A43" s="7" t="s">
        <v>131</v>
      </c>
      <c r="B43" s="7"/>
      <c r="C43" s="7"/>
      <c r="D43" s="7"/>
      <c r="E43" s="5"/>
      <c r="H43" s="7"/>
      <c r="I43" s="7"/>
      <c r="J43" s="7"/>
    </row>
    <row r="44" spans="1:19" x14ac:dyDescent="0.2">
      <c r="A44" s="7" t="s">
        <v>318</v>
      </c>
      <c r="B44" s="7"/>
      <c r="C44" s="7"/>
      <c r="D44" s="7"/>
      <c r="E44" s="5"/>
      <c r="H44" s="7"/>
      <c r="I44" s="7"/>
      <c r="J44" s="7"/>
    </row>
    <row r="45" spans="1:19" ht="15" customHeight="1" x14ac:dyDescent="0.2">
      <c r="A45" s="7"/>
      <c r="B45" s="7"/>
      <c r="C45" s="7"/>
      <c r="D45" s="7"/>
      <c r="H45" s="7"/>
      <c r="I45" s="7"/>
      <c r="J45" s="7"/>
    </row>
    <row r="46" spans="1:19" s="88" customFormat="1" x14ac:dyDescent="0.2"/>
    <row r="47" spans="1:19" s="89" customFormat="1" x14ac:dyDescent="0.2"/>
  </sheetData>
  <mergeCells count="81">
    <mergeCell ref="N39:P39"/>
    <mergeCell ref="N38:P38"/>
    <mergeCell ref="A42:E42"/>
    <mergeCell ref="A41:E41"/>
    <mergeCell ref="B38:D38"/>
    <mergeCell ref="B39:D39"/>
    <mergeCell ref="E38:G38"/>
    <mergeCell ref="E39:G39"/>
    <mergeCell ref="K38:M38"/>
    <mergeCell ref="K39:M39"/>
    <mergeCell ref="H38:J38"/>
    <mergeCell ref="H39:J39"/>
    <mergeCell ref="N32:P32"/>
    <mergeCell ref="N22:O22"/>
    <mergeCell ref="N29:P29"/>
    <mergeCell ref="N26:P26"/>
    <mergeCell ref="N27:P27"/>
    <mergeCell ref="N24:P24"/>
    <mergeCell ref="N25:P25"/>
    <mergeCell ref="N11:O11"/>
    <mergeCell ref="E25:G25"/>
    <mergeCell ref="E26:G26"/>
    <mergeCell ref="E28:G28"/>
    <mergeCell ref="E27:F27"/>
    <mergeCell ref="N28:P28"/>
    <mergeCell ref="N23:P23"/>
    <mergeCell ref="N19:P19"/>
    <mergeCell ref="N20:P20"/>
    <mergeCell ref="E24:G24"/>
    <mergeCell ref="E17:G17"/>
    <mergeCell ref="E19:G19"/>
    <mergeCell ref="E20:G20"/>
    <mergeCell ref="E22:F22"/>
    <mergeCell ref="E23:G23"/>
    <mergeCell ref="E11:G11"/>
    <mergeCell ref="B32:D32"/>
    <mergeCell ref="K7:M7"/>
    <mergeCell ref="K8:M8"/>
    <mergeCell ref="K19:M19"/>
    <mergeCell ref="K20:M20"/>
    <mergeCell ref="E29:G29"/>
    <mergeCell ref="E32:G32"/>
    <mergeCell ref="K32:M32"/>
    <mergeCell ref="E8:G8"/>
    <mergeCell ref="E10:G10"/>
    <mergeCell ref="E13:G13"/>
    <mergeCell ref="E14:G14"/>
    <mergeCell ref="E18:G18"/>
    <mergeCell ref="H32:J32"/>
    <mergeCell ref="A31:S31"/>
    <mergeCell ref="Q14:S14"/>
    <mergeCell ref="A1:A3"/>
    <mergeCell ref="B1:S1"/>
    <mergeCell ref="B2:D2"/>
    <mergeCell ref="E2:G2"/>
    <mergeCell ref="K2:M2"/>
    <mergeCell ref="N2:P2"/>
    <mergeCell ref="Q2:S2"/>
    <mergeCell ref="H2:J2"/>
    <mergeCell ref="E4:G4"/>
    <mergeCell ref="Q32:S32"/>
    <mergeCell ref="Q38:S38"/>
    <mergeCell ref="Q39:S39"/>
    <mergeCell ref="N7:P7"/>
    <mergeCell ref="N8:P8"/>
    <mergeCell ref="N10:P10"/>
    <mergeCell ref="N4:P4"/>
    <mergeCell ref="K4:M4"/>
    <mergeCell ref="E5:G5"/>
    <mergeCell ref="E6:G6"/>
    <mergeCell ref="N5:P5"/>
    <mergeCell ref="N6:P6"/>
    <mergeCell ref="N21:P21"/>
    <mergeCell ref="N12:P12"/>
    <mergeCell ref="N13:P13"/>
    <mergeCell ref="Q22:R22"/>
    <mergeCell ref="Q20:S20"/>
    <mergeCell ref="Q21:S21"/>
    <mergeCell ref="N14:P14"/>
    <mergeCell ref="N15:P15"/>
    <mergeCell ref="N16:P16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71CF-6E95-474B-850E-6C01114E9F7B}">
  <dimension ref="A1:G45"/>
  <sheetViews>
    <sheetView zoomScale="150" zoomScaleNormal="180" workbookViewId="0">
      <selection activeCell="B4" sqref="B4"/>
    </sheetView>
  </sheetViews>
  <sheetFormatPr baseColWidth="10" defaultRowHeight="16" x14ac:dyDescent="0.2"/>
  <cols>
    <col min="1" max="1" width="12.83203125" customWidth="1"/>
    <col min="2" max="3" width="15.83203125" customWidth="1"/>
    <col min="4" max="4" width="15.83203125" style="143" customWidth="1"/>
    <col min="5" max="7" width="15.83203125" customWidth="1"/>
  </cols>
  <sheetData>
    <row r="1" spans="1:7" x14ac:dyDescent="0.2">
      <c r="A1" s="241" t="s">
        <v>6</v>
      </c>
      <c r="B1" s="244" t="s">
        <v>10</v>
      </c>
      <c r="C1" s="245"/>
      <c r="D1" s="245"/>
      <c r="E1" s="245"/>
      <c r="F1" s="245"/>
      <c r="G1" s="245"/>
    </row>
    <row r="2" spans="1:7" x14ac:dyDescent="0.2">
      <c r="A2" s="242"/>
      <c r="B2" s="97" t="s">
        <v>5</v>
      </c>
      <c r="C2" s="97" t="s">
        <v>321</v>
      </c>
      <c r="D2" s="97" t="s">
        <v>3</v>
      </c>
      <c r="E2" s="97" t="s">
        <v>2</v>
      </c>
      <c r="F2" s="97" t="s">
        <v>1</v>
      </c>
      <c r="G2" s="97" t="s">
        <v>4</v>
      </c>
    </row>
    <row r="3" spans="1:7" x14ac:dyDescent="0.2">
      <c r="A3" s="34">
        <v>1</v>
      </c>
      <c r="B3" s="35" t="s">
        <v>29</v>
      </c>
      <c r="C3" s="35" t="s">
        <v>29</v>
      </c>
      <c r="D3" s="139" t="s">
        <v>22</v>
      </c>
      <c r="E3" s="37" t="s">
        <v>15</v>
      </c>
      <c r="F3" s="35" t="s">
        <v>29</v>
      </c>
      <c r="G3" s="36" t="s">
        <v>390</v>
      </c>
    </row>
    <row r="4" spans="1:7" x14ac:dyDescent="0.2">
      <c r="A4" s="34">
        <v>2</v>
      </c>
      <c r="B4" s="38" t="s">
        <v>0</v>
      </c>
      <c r="C4" s="104" t="s">
        <v>0</v>
      </c>
      <c r="D4" s="24" t="s">
        <v>23</v>
      </c>
      <c r="E4" s="26" t="s">
        <v>15</v>
      </c>
      <c r="F4" s="102" t="s">
        <v>388</v>
      </c>
      <c r="G4" s="25" t="s">
        <v>37</v>
      </c>
    </row>
    <row r="5" spans="1:7" x14ac:dyDescent="0.2">
      <c r="A5" s="34">
        <v>3</v>
      </c>
      <c r="B5" s="38" t="s">
        <v>0</v>
      </c>
      <c r="C5" s="104" t="s">
        <v>0</v>
      </c>
      <c r="D5" s="140" t="s">
        <v>24</v>
      </c>
      <c r="E5" s="26" t="s">
        <v>15</v>
      </c>
      <c r="F5" s="103" t="s">
        <v>237</v>
      </c>
      <c r="G5" s="24" t="s">
        <v>0</v>
      </c>
    </row>
    <row r="6" spans="1:7" x14ac:dyDescent="0.2">
      <c r="A6" s="34">
        <v>4</v>
      </c>
      <c r="B6" s="38" t="s">
        <v>0</v>
      </c>
      <c r="C6" s="104" t="s">
        <v>0</v>
      </c>
      <c r="D6" s="140" t="s">
        <v>24</v>
      </c>
      <c r="E6" s="26" t="s">
        <v>16</v>
      </c>
      <c r="F6" s="104" t="s">
        <v>238</v>
      </c>
      <c r="G6" s="24" t="s">
        <v>0</v>
      </c>
    </row>
    <row r="7" spans="1:7" x14ac:dyDescent="0.2">
      <c r="A7" s="34">
        <v>5</v>
      </c>
      <c r="B7" s="39" t="s">
        <v>7</v>
      </c>
      <c r="C7" s="136" t="s">
        <v>245</v>
      </c>
      <c r="D7" s="28" t="s">
        <v>19</v>
      </c>
      <c r="E7" s="29" t="s">
        <v>15</v>
      </c>
      <c r="F7" s="30" t="s">
        <v>12</v>
      </c>
      <c r="G7" s="28" t="s">
        <v>19</v>
      </c>
    </row>
    <row r="8" spans="1:7" x14ac:dyDescent="0.2">
      <c r="A8" s="34">
        <v>6</v>
      </c>
      <c r="B8" s="38" t="s">
        <v>8</v>
      </c>
      <c r="C8" s="131" t="s">
        <v>367</v>
      </c>
      <c r="D8" s="140" t="s">
        <v>26</v>
      </c>
      <c r="E8" s="26" t="s">
        <v>17</v>
      </c>
      <c r="F8" s="104" t="s">
        <v>239</v>
      </c>
      <c r="G8" s="106" t="s">
        <v>38</v>
      </c>
    </row>
    <row r="9" spans="1:7" x14ac:dyDescent="0.2">
      <c r="A9" s="34">
        <v>7</v>
      </c>
      <c r="B9" s="40" t="s">
        <v>374</v>
      </c>
      <c r="C9" s="129" t="s">
        <v>330</v>
      </c>
      <c r="D9" s="140" t="s">
        <v>27</v>
      </c>
      <c r="E9" s="26" t="s">
        <v>15</v>
      </c>
      <c r="F9" s="103" t="s">
        <v>240</v>
      </c>
      <c r="G9" s="27" t="s">
        <v>40</v>
      </c>
    </row>
    <row r="10" spans="1:7" x14ac:dyDescent="0.2">
      <c r="A10" s="34">
        <v>8</v>
      </c>
      <c r="B10" s="40" t="s">
        <v>375</v>
      </c>
      <c r="C10" s="128" t="s">
        <v>368</v>
      </c>
      <c r="D10" s="141" t="s">
        <v>28</v>
      </c>
      <c r="E10" s="26" t="s">
        <v>15</v>
      </c>
      <c r="F10" s="104" t="s">
        <v>0</v>
      </c>
      <c r="G10" s="24" t="s">
        <v>0</v>
      </c>
    </row>
    <row r="11" spans="1:7" x14ac:dyDescent="0.2">
      <c r="A11" s="34">
        <v>9</v>
      </c>
      <c r="B11" s="41" t="s">
        <v>376</v>
      </c>
      <c r="C11" s="104" t="s">
        <v>0</v>
      </c>
      <c r="D11" s="140" t="s">
        <v>386</v>
      </c>
      <c r="E11" s="26" t="s">
        <v>15</v>
      </c>
      <c r="F11" s="103" t="s">
        <v>248</v>
      </c>
      <c r="G11" s="27" t="s">
        <v>39</v>
      </c>
    </row>
    <row r="12" spans="1:7" x14ac:dyDescent="0.2">
      <c r="A12" s="34">
        <v>10</v>
      </c>
      <c r="B12" s="38" t="s">
        <v>0</v>
      </c>
      <c r="C12" s="104" t="s">
        <v>369</v>
      </c>
      <c r="D12" s="24" t="s">
        <v>0</v>
      </c>
      <c r="E12" s="26" t="s">
        <v>15</v>
      </c>
      <c r="F12" s="103" t="s">
        <v>241</v>
      </c>
      <c r="G12" s="24" t="s">
        <v>0</v>
      </c>
    </row>
    <row r="13" spans="1:7" x14ac:dyDescent="0.2">
      <c r="A13" s="34">
        <v>11</v>
      </c>
      <c r="B13" s="38" t="s">
        <v>9</v>
      </c>
      <c r="C13" s="104" t="s">
        <v>0</v>
      </c>
      <c r="D13" s="141" t="s">
        <v>387</v>
      </c>
      <c r="E13" s="26" t="s">
        <v>15</v>
      </c>
      <c r="F13" s="102" t="s">
        <v>242</v>
      </c>
      <c r="G13" s="27" t="s">
        <v>41</v>
      </c>
    </row>
    <row r="14" spans="1:7" x14ac:dyDescent="0.2">
      <c r="A14" s="34">
        <v>12</v>
      </c>
      <c r="B14" s="40" t="s">
        <v>377</v>
      </c>
      <c r="C14" s="104" t="s">
        <v>369</v>
      </c>
      <c r="D14" s="140" t="s">
        <v>30</v>
      </c>
      <c r="E14" s="26" t="s">
        <v>15</v>
      </c>
      <c r="F14" s="104" t="s">
        <v>0</v>
      </c>
      <c r="G14" s="106" t="s">
        <v>42</v>
      </c>
    </row>
    <row r="15" spans="1:7" x14ac:dyDescent="0.2">
      <c r="A15" s="34">
        <v>13</v>
      </c>
      <c r="B15" s="40" t="s">
        <v>378</v>
      </c>
      <c r="C15" s="131" t="s">
        <v>370</v>
      </c>
      <c r="D15" s="140" t="s">
        <v>30</v>
      </c>
      <c r="E15" s="26" t="s">
        <v>18</v>
      </c>
      <c r="F15" s="103" t="s">
        <v>243</v>
      </c>
      <c r="G15" s="27" t="s">
        <v>43</v>
      </c>
    </row>
    <row r="16" spans="1:7" x14ac:dyDescent="0.2">
      <c r="A16" s="34">
        <v>14</v>
      </c>
      <c r="B16" s="38" t="s">
        <v>0</v>
      </c>
      <c r="C16" s="131" t="s">
        <v>245</v>
      </c>
      <c r="D16" s="140" t="s">
        <v>30</v>
      </c>
      <c r="E16" s="26" t="s">
        <v>15</v>
      </c>
      <c r="F16" s="103" t="s">
        <v>244</v>
      </c>
      <c r="G16" s="24" t="s">
        <v>0</v>
      </c>
    </row>
    <row r="17" spans="1:7" x14ac:dyDescent="0.2">
      <c r="A17" s="34">
        <v>15</v>
      </c>
      <c r="B17" s="42" t="s">
        <v>11</v>
      </c>
      <c r="C17" s="137"/>
      <c r="D17" s="29" t="s">
        <v>12</v>
      </c>
      <c r="E17" s="29" t="s">
        <v>15</v>
      </c>
      <c r="F17" s="30" t="s">
        <v>12</v>
      </c>
      <c r="G17" s="29" t="s">
        <v>12</v>
      </c>
    </row>
    <row r="18" spans="1:7" x14ac:dyDescent="0.2">
      <c r="A18" s="34">
        <v>16</v>
      </c>
      <c r="B18" s="42" t="s">
        <v>12</v>
      </c>
      <c r="C18" s="137"/>
      <c r="D18" s="29" t="s">
        <v>11</v>
      </c>
      <c r="E18" s="29" t="s">
        <v>15</v>
      </c>
      <c r="F18" s="30" t="s">
        <v>25</v>
      </c>
      <c r="G18" s="29" t="s">
        <v>12</v>
      </c>
    </row>
    <row r="19" spans="1:7" x14ac:dyDescent="0.2">
      <c r="A19" s="34">
        <v>17</v>
      </c>
      <c r="B19" s="38" t="s">
        <v>0</v>
      </c>
      <c r="C19" s="128" t="s">
        <v>334</v>
      </c>
      <c r="D19" s="140" t="s">
        <v>30</v>
      </c>
      <c r="E19" s="26" t="s">
        <v>15</v>
      </c>
      <c r="F19" s="104" t="s">
        <v>238</v>
      </c>
      <c r="G19" s="24" t="s">
        <v>389</v>
      </c>
    </row>
    <row r="20" spans="1:7" x14ac:dyDescent="0.2">
      <c r="A20" s="34">
        <v>18</v>
      </c>
      <c r="B20" s="38" t="s">
        <v>0</v>
      </c>
      <c r="C20" s="128" t="s">
        <v>371</v>
      </c>
      <c r="D20" s="144" t="s">
        <v>31</v>
      </c>
      <c r="E20" s="26" t="s">
        <v>15</v>
      </c>
      <c r="F20" s="103" t="s">
        <v>245</v>
      </c>
      <c r="G20" s="106" t="s">
        <v>44</v>
      </c>
    </row>
    <row r="21" spans="1:7" x14ac:dyDescent="0.2">
      <c r="A21" s="34">
        <v>19</v>
      </c>
      <c r="B21" s="38" t="s">
        <v>0</v>
      </c>
      <c r="C21" s="104" t="s">
        <v>0</v>
      </c>
      <c r="D21" s="24" t="s">
        <v>32</v>
      </c>
      <c r="E21" s="26" t="s">
        <v>15</v>
      </c>
      <c r="F21" s="104" t="s">
        <v>0</v>
      </c>
      <c r="G21" s="27"/>
    </row>
    <row r="22" spans="1:7" x14ac:dyDescent="0.2">
      <c r="A22" s="34">
        <v>20</v>
      </c>
      <c r="B22" s="41" t="s">
        <v>379</v>
      </c>
      <c r="C22" s="104" t="s">
        <v>0</v>
      </c>
      <c r="D22" s="141" t="s">
        <v>33</v>
      </c>
      <c r="E22" s="26" t="s">
        <v>15</v>
      </c>
      <c r="F22" s="103" t="s">
        <v>194</v>
      </c>
      <c r="G22" s="27" t="s">
        <v>24</v>
      </c>
    </row>
    <row r="23" spans="1:7" x14ac:dyDescent="0.2">
      <c r="A23" s="34">
        <v>21</v>
      </c>
      <c r="B23" s="38" t="s">
        <v>13</v>
      </c>
      <c r="C23" s="128" t="s">
        <v>372</v>
      </c>
      <c r="D23" s="141" t="s">
        <v>28</v>
      </c>
      <c r="E23" s="26" t="s">
        <v>15</v>
      </c>
      <c r="F23" s="102" t="s">
        <v>246</v>
      </c>
      <c r="G23" s="27" t="s">
        <v>45</v>
      </c>
    </row>
    <row r="24" spans="1:7" x14ac:dyDescent="0.2">
      <c r="A24" s="34">
        <v>22</v>
      </c>
      <c r="B24" s="38" t="s">
        <v>0</v>
      </c>
      <c r="C24" s="104" t="s">
        <v>0</v>
      </c>
      <c r="D24" s="140" t="s">
        <v>34</v>
      </c>
      <c r="E24" s="26" t="s">
        <v>18</v>
      </c>
      <c r="F24" s="104" t="s">
        <v>0</v>
      </c>
      <c r="G24" s="25" t="s">
        <v>46</v>
      </c>
    </row>
    <row r="25" spans="1:7" x14ac:dyDescent="0.2">
      <c r="A25" s="34">
        <v>23</v>
      </c>
      <c r="B25" s="38" t="s">
        <v>0</v>
      </c>
      <c r="C25" s="104" t="s">
        <v>0</v>
      </c>
      <c r="D25" s="141" t="s">
        <v>28</v>
      </c>
      <c r="E25" s="26" t="s">
        <v>15</v>
      </c>
      <c r="F25" s="103" t="s">
        <v>247</v>
      </c>
      <c r="G25" s="27" t="s">
        <v>24</v>
      </c>
    </row>
    <row r="26" spans="1:7" x14ac:dyDescent="0.2">
      <c r="A26" s="34">
        <v>24</v>
      </c>
      <c r="B26" s="38" t="s">
        <v>0</v>
      </c>
      <c r="C26" s="128" t="s">
        <v>373</v>
      </c>
      <c r="D26" s="140" t="s">
        <v>24</v>
      </c>
      <c r="E26" s="26" t="s">
        <v>15</v>
      </c>
      <c r="F26" s="38" t="s">
        <v>13</v>
      </c>
      <c r="G26" s="25" t="s">
        <v>47</v>
      </c>
    </row>
    <row r="27" spans="1:7" x14ac:dyDescent="0.2">
      <c r="A27" s="34">
        <v>25</v>
      </c>
      <c r="B27" s="38" t="s">
        <v>0</v>
      </c>
      <c r="C27" s="128" t="s">
        <v>324</v>
      </c>
      <c r="D27" s="140" t="s">
        <v>35</v>
      </c>
      <c r="E27" s="26" t="s">
        <v>15</v>
      </c>
      <c r="F27" s="102" t="s">
        <v>249</v>
      </c>
      <c r="G27" s="27" t="s">
        <v>45</v>
      </c>
    </row>
    <row r="28" spans="1:7" x14ac:dyDescent="0.2">
      <c r="A28" s="34">
        <v>26</v>
      </c>
      <c r="B28" s="128" t="s">
        <v>344</v>
      </c>
      <c r="C28" s="128" t="s">
        <v>344</v>
      </c>
      <c r="D28" s="142" t="s">
        <v>36</v>
      </c>
      <c r="E28" s="32" t="s">
        <v>15</v>
      </c>
      <c r="F28" s="105" t="s">
        <v>45</v>
      </c>
      <c r="G28" s="31" t="s">
        <v>28</v>
      </c>
    </row>
    <row r="30" spans="1:7" x14ac:dyDescent="0.2">
      <c r="A30" s="243" t="s">
        <v>54</v>
      </c>
      <c r="B30" s="243"/>
      <c r="C30" s="243"/>
      <c r="D30" s="243"/>
      <c r="E30" s="243"/>
      <c r="F30" s="243"/>
    </row>
    <row r="31" spans="1:7" s="56" customFormat="1" x14ac:dyDescent="0.2">
      <c r="A31" s="94"/>
      <c r="B31" s="95" t="s">
        <v>66</v>
      </c>
      <c r="C31" s="95" t="s">
        <v>329</v>
      </c>
      <c r="D31" s="95" t="s">
        <v>3</v>
      </c>
      <c r="E31" s="95" t="s">
        <v>2</v>
      </c>
      <c r="F31" s="96" t="s">
        <v>1</v>
      </c>
      <c r="G31" s="95" t="s">
        <v>67</v>
      </c>
    </row>
    <row r="32" spans="1:7" x14ac:dyDescent="0.2">
      <c r="A32" s="90" t="s">
        <v>55</v>
      </c>
      <c r="B32" s="106">
        <v>16</v>
      </c>
      <c r="C32" s="106">
        <v>12</v>
      </c>
      <c r="D32" s="106">
        <v>4</v>
      </c>
      <c r="E32" s="106">
        <v>0</v>
      </c>
      <c r="F32" s="117">
        <v>9</v>
      </c>
      <c r="G32" s="106">
        <v>8</v>
      </c>
    </row>
    <row r="33" spans="1:7" x14ac:dyDescent="0.2">
      <c r="A33" s="22" t="s">
        <v>317</v>
      </c>
      <c r="B33" s="25">
        <v>5</v>
      </c>
      <c r="C33" s="25">
        <v>7</v>
      </c>
      <c r="D33" s="25">
        <v>7</v>
      </c>
      <c r="E33" s="25">
        <v>0</v>
      </c>
      <c r="F33" s="118">
        <v>4</v>
      </c>
      <c r="G33" s="25">
        <v>8</v>
      </c>
    </row>
    <row r="34" spans="1:7" x14ac:dyDescent="0.2">
      <c r="A34" s="58" t="s">
        <v>56</v>
      </c>
      <c r="B34" s="27">
        <v>2</v>
      </c>
      <c r="C34" s="27">
        <v>4</v>
      </c>
      <c r="D34" s="27">
        <v>12</v>
      </c>
      <c r="E34" s="27">
        <v>23</v>
      </c>
      <c r="F34" s="119">
        <v>10</v>
      </c>
      <c r="G34" s="27">
        <v>7</v>
      </c>
    </row>
    <row r="35" spans="1:7" x14ac:dyDescent="0.2">
      <c r="A35" s="91" t="s">
        <v>57</v>
      </c>
      <c r="B35" s="62">
        <v>3</v>
      </c>
      <c r="C35" s="62">
        <v>3</v>
      </c>
      <c r="D35" s="62">
        <v>3</v>
      </c>
      <c r="E35" s="62">
        <v>3</v>
      </c>
      <c r="F35" s="111">
        <v>3</v>
      </c>
      <c r="G35" s="62">
        <v>3</v>
      </c>
    </row>
    <row r="36" spans="1:7" x14ac:dyDescent="0.2">
      <c r="A36" s="92" t="s">
        <v>68</v>
      </c>
      <c r="B36" s="93">
        <f t="shared" ref="B36:F36" si="0">SUM(B32:B34)</f>
        <v>23</v>
      </c>
      <c r="C36" s="93">
        <f t="shared" si="0"/>
        <v>23</v>
      </c>
      <c r="D36" s="93">
        <f t="shared" si="0"/>
        <v>23</v>
      </c>
      <c r="E36" s="93">
        <f t="shared" si="0"/>
        <v>23</v>
      </c>
      <c r="F36" s="33">
        <f t="shared" si="0"/>
        <v>23</v>
      </c>
      <c r="G36" s="93">
        <f t="shared" ref="G36" si="1">SUM(G32:G34)</f>
        <v>23</v>
      </c>
    </row>
    <row r="39" spans="1:7" x14ac:dyDescent="0.2">
      <c r="A39" s="121" t="s">
        <v>319</v>
      </c>
      <c r="B39" s="124">
        <f t="shared" ref="B39:F39" si="2">B32/B36</f>
        <v>0.69565217391304346</v>
      </c>
      <c r="C39" s="124">
        <f t="shared" si="2"/>
        <v>0.52173913043478259</v>
      </c>
      <c r="D39" s="145">
        <f t="shared" si="2"/>
        <v>0.17391304347826086</v>
      </c>
      <c r="E39" s="125">
        <f t="shared" si="2"/>
        <v>0</v>
      </c>
      <c r="F39" s="124">
        <f t="shared" si="2"/>
        <v>0.39130434782608697</v>
      </c>
      <c r="G39" s="124">
        <f t="shared" ref="G39" si="3">G32/G36</f>
        <v>0.34782608695652173</v>
      </c>
    </row>
    <row r="40" spans="1:7" x14ac:dyDescent="0.2">
      <c r="A40" s="123" t="s">
        <v>320</v>
      </c>
      <c r="B40" s="126">
        <f t="shared" ref="B40:F40" si="4">SUM(B32,B33)/B36</f>
        <v>0.91304347826086951</v>
      </c>
      <c r="C40" s="126">
        <f t="shared" si="4"/>
        <v>0.82608695652173914</v>
      </c>
      <c r="D40" s="146">
        <f t="shared" si="4"/>
        <v>0.47826086956521741</v>
      </c>
      <c r="E40" s="126">
        <f t="shared" si="4"/>
        <v>0</v>
      </c>
      <c r="F40" s="126">
        <f t="shared" si="4"/>
        <v>0.56521739130434778</v>
      </c>
      <c r="G40" s="126">
        <f t="shared" ref="G40" si="5">SUM(G32,G33)/G36</f>
        <v>0.69565217391304346</v>
      </c>
    </row>
    <row r="43" spans="1:7" x14ac:dyDescent="0.2">
      <c r="A43" t="s">
        <v>250</v>
      </c>
    </row>
    <row r="44" spans="1:7" x14ac:dyDescent="0.2">
      <c r="A44" t="s">
        <v>270</v>
      </c>
    </row>
    <row r="45" spans="1:7" x14ac:dyDescent="0.2">
      <c r="A45" t="s">
        <v>271</v>
      </c>
    </row>
  </sheetData>
  <mergeCells count="3">
    <mergeCell ref="A1:A2"/>
    <mergeCell ref="A30:F30"/>
    <mergeCell ref="B1:G1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Auto Adapt</vt:lpstr>
      <vt:lpstr>Energy Saving</vt:lpstr>
      <vt:lpstr>Fixed Plans</vt:lpstr>
      <vt:lpstr>Remote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3122348072668270</dc:creator>
  <cp:lastModifiedBy>TU-Pseudonym 3122348072668270</cp:lastModifiedBy>
  <cp:lastPrinted>2024-09-19T14:42:16Z</cp:lastPrinted>
  <dcterms:created xsi:type="dcterms:W3CDTF">2024-08-12T14:41:16Z</dcterms:created>
  <dcterms:modified xsi:type="dcterms:W3CDTF">2024-09-25T09:39:02Z</dcterms:modified>
</cp:coreProperties>
</file>